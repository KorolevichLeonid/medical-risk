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filterPrivacy="1" defaultThemeVersion="124226"/>
  <xr:revisionPtr revIDLastSave="0" documentId="8_{80AEB64F-E772-4624-ABD7-B0E38006536D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Энергетические опасности" sheetId="1" r:id="rId1"/>
    <sheet name="Био-химические поасности" sheetId="7" r:id="rId2"/>
    <sheet name="Эксплуатационные и информ" sheetId="5" r:id="rId3"/>
    <sheet name="Программные" sheetId="4" r:id="rId4"/>
    <sheet name="14931" sheetId="6" r:id="rId5"/>
    <sheet name="Определения 62366" sheetId="3" r:id="rId6"/>
    <sheet name="Заключение-Выводы" sheetId="8" r:id="rId7"/>
  </sheets>
  <definedNames>
    <definedName name="_xlnm._FilterDatabase" localSheetId="0" hidden="1">'Энергетические опасности'!$A$4:$X$47</definedName>
  </definedNames>
  <calcPr calcId="181029"/>
  <fileRecoveryPr repairLoad="1"/>
</workbook>
</file>

<file path=xl/calcChain.xml><?xml version="1.0" encoding="utf-8"?>
<calcChain xmlns="http://schemas.openxmlformats.org/spreadsheetml/2006/main">
  <c r="U24" i="5" l="1"/>
  <c r="V24" i="5" s="1"/>
  <c r="K24" i="5"/>
  <c r="L24" i="5" s="1"/>
  <c r="U21" i="5"/>
  <c r="V21" i="5" s="1"/>
  <c r="U22" i="5"/>
  <c r="V22" i="5"/>
  <c r="U23" i="5"/>
  <c r="V23" i="5" s="1"/>
  <c r="K21" i="5"/>
  <c r="L21" i="5" s="1"/>
  <c r="K22" i="5"/>
  <c r="L22" i="5" s="1"/>
  <c r="K23" i="5"/>
  <c r="L23" i="5" s="1"/>
  <c r="U10" i="5" l="1"/>
  <c r="V10" i="5"/>
  <c r="K10" i="5"/>
  <c r="L10" i="5"/>
  <c r="U20" i="5"/>
  <c r="V20" i="5"/>
  <c r="C20" i="5"/>
  <c r="K20" i="5"/>
  <c r="L20" i="5" s="1"/>
  <c r="U9" i="5"/>
  <c r="V9" i="5" s="1"/>
  <c r="K9" i="5"/>
  <c r="L9" i="5" s="1"/>
  <c r="U8" i="5"/>
  <c r="V8" i="5" s="1"/>
  <c r="K8" i="5"/>
  <c r="L8" i="5" s="1"/>
  <c r="C8" i="5"/>
  <c r="U38" i="5"/>
  <c r="V38" i="5" s="1"/>
  <c r="K38" i="5"/>
  <c r="L38" i="5" s="1"/>
  <c r="U37" i="5"/>
  <c r="V37" i="5" s="1"/>
  <c r="K37" i="5"/>
  <c r="L37" i="5" s="1"/>
  <c r="U36" i="5"/>
  <c r="V36" i="5" s="1"/>
  <c r="K36" i="5"/>
  <c r="L36" i="5" s="1"/>
  <c r="U35" i="5"/>
  <c r="V35" i="5" s="1"/>
  <c r="K35" i="5"/>
  <c r="L35" i="5" s="1"/>
  <c r="U34" i="5"/>
  <c r="V34" i="5" s="1"/>
  <c r="K34" i="5"/>
  <c r="L34" i="5" s="1"/>
  <c r="C33" i="5"/>
  <c r="U33" i="5"/>
  <c r="V33" i="5" s="1"/>
  <c r="K33" i="5"/>
  <c r="L33" i="5" s="1"/>
  <c r="U32" i="5"/>
  <c r="V32" i="5" s="1"/>
  <c r="K32" i="5"/>
  <c r="L32" i="5" s="1"/>
  <c r="C32" i="5"/>
  <c r="U31" i="5"/>
  <c r="V31" i="5" s="1"/>
  <c r="K31" i="5"/>
  <c r="L31" i="5" s="1"/>
  <c r="C31" i="5"/>
  <c r="K28" i="5"/>
  <c r="L28" i="5" s="1"/>
  <c r="U30" i="5"/>
  <c r="V30" i="5" s="1"/>
  <c r="K30" i="5"/>
  <c r="L30" i="5" s="1"/>
  <c r="C30" i="5"/>
  <c r="U29" i="5"/>
  <c r="V29" i="5" s="1"/>
  <c r="K29" i="5"/>
  <c r="L29" i="5" s="1"/>
  <c r="C29" i="5"/>
  <c r="U27" i="5"/>
  <c r="V27" i="5" s="1"/>
  <c r="K27" i="5"/>
  <c r="L27" i="5" s="1"/>
  <c r="C27" i="5"/>
  <c r="U26" i="5"/>
  <c r="V26" i="5" s="1"/>
  <c r="K26" i="5"/>
  <c r="L26" i="5" s="1"/>
  <c r="C26" i="5"/>
  <c r="U25" i="5"/>
  <c r="V25" i="5" s="1"/>
  <c r="K25" i="5"/>
  <c r="L25" i="5" s="1"/>
  <c r="C25" i="5"/>
  <c r="U19" i="5"/>
  <c r="V19" i="5" s="1"/>
  <c r="K19" i="5"/>
  <c r="L19" i="5" s="1"/>
  <c r="C19" i="5"/>
  <c r="U18" i="5"/>
  <c r="V18" i="5" s="1"/>
  <c r="K18" i="5"/>
  <c r="L18" i="5" s="1"/>
  <c r="C18" i="5"/>
  <c r="U17" i="5"/>
  <c r="V17" i="5" s="1"/>
  <c r="K17" i="5"/>
  <c r="L17" i="5" s="1"/>
  <c r="C17" i="5"/>
  <c r="U12" i="5"/>
  <c r="V12" i="5"/>
  <c r="U13" i="5"/>
  <c r="V13" i="5"/>
  <c r="U14" i="5"/>
  <c r="V14" i="5" s="1"/>
  <c r="K12" i="5"/>
  <c r="L12" i="5" s="1"/>
  <c r="K13" i="5"/>
  <c r="L13" i="5"/>
  <c r="K14" i="5"/>
  <c r="L14" i="5" s="1"/>
  <c r="U6" i="5"/>
  <c r="V6" i="5"/>
  <c r="K6" i="5"/>
  <c r="L6" i="5" s="1"/>
  <c r="U10" i="7"/>
  <c r="V10" i="7" s="1"/>
  <c r="U8" i="7"/>
  <c r="V8" i="7"/>
  <c r="K8" i="7"/>
  <c r="L8" i="7"/>
  <c r="K10" i="7"/>
  <c r="L10" i="7"/>
  <c r="U10" i="4" l="1"/>
  <c r="V10" i="4" s="1"/>
  <c r="U11" i="4"/>
  <c r="V11" i="4"/>
  <c r="U12" i="4"/>
  <c r="V12" i="4" s="1"/>
  <c r="U13" i="4"/>
  <c r="V13" i="4" s="1"/>
  <c r="U14" i="4"/>
  <c r="V14" i="4" s="1"/>
  <c r="U15" i="4"/>
  <c r="V15" i="4" s="1"/>
  <c r="K10" i="4"/>
  <c r="L10" i="4"/>
  <c r="K11" i="4"/>
  <c r="L11" i="4" s="1"/>
  <c r="K12" i="4"/>
  <c r="L12" i="4" s="1"/>
  <c r="K13" i="4"/>
  <c r="L13" i="4" s="1"/>
  <c r="K14" i="4"/>
  <c r="L14" i="4"/>
  <c r="K15" i="4"/>
  <c r="L15" i="4"/>
  <c r="U9" i="7"/>
  <c r="V9" i="7"/>
  <c r="K9" i="7"/>
  <c r="L9" i="7"/>
  <c r="U25" i="1" l="1"/>
  <c r="V25" i="1" s="1"/>
  <c r="K25" i="1"/>
  <c r="L25" i="1" s="1"/>
  <c r="U13" i="1"/>
  <c r="V13" i="1" s="1"/>
  <c r="K13" i="1"/>
  <c r="L13" i="1" s="1"/>
  <c r="U7" i="1" l="1"/>
  <c r="V7" i="1" s="1"/>
  <c r="U8" i="1"/>
  <c r="V8" i="1" s="1"/>
  <c r="K7" i="1"/>
  <c r="L7" i="1" s="1"/>
  <c r="K8" i="1"/>
  <c r="L8" i="1" s="1"/>
  <c r="U9" i="1"/>
  <c r="V9" i="1" s="1"/>
  <c r="K9" i="1"/>
  <c r="L9" i="1" s="1"/>
  <c r="U11" i="1"/>
  <c r="K11" i="1"/>
  <c r="L11" i="1" s="1"/>
  <c r="U9" i="4"/>
  <c r="V9" i="4" s="1"/>
  <c r="K9" i="4"/>
  <c r="L9" i="4" s="1"/>
  <c r="C9" i="4"/>
  <c r="U8" i="4"/>
  <c r="V8" i="4" s="1"/>
  <c r="K8" i="4"/>
  <c r="L8" i="4" s="1"/>
  <c r="C8" i="4"/>
  <c r="U7" i="4"/>
  <c r="V7" i="4" s="1"/>
  <c r="K7" i="4"/>
  <c r="L7" i="4" s="1"/>
  <c r="C7" i="4"/>
  <c r="U6" i="4"/>
  <c r="V6" i="4" s="1"/>
  <c r="K6" i="4"/>
  <c r="L6" i="4" s="1"/>
  <c r="U5" i="4"/>
  <c r="V5" i="4" s="1"/>
  <c r="K5" i="4"/>
  <c r="L5" i="4" s="1"/>
  <c r="C5" i="4"/>
  <c r="U16" i="5"/>
  <c r="V16" i="5" s="1"/>
  <c r="K16" i="5"/>
  <c r="L16" i="5" s="1"/>
  <c r="C16" i="5"/>
  <c r="U15" i="5"/>
  <c r="V15" i="5" s="1"/>
  <c r="K15" i="5"/>
  <c r="L15" i="5" s="1"/>
  <c r="U11" i="5"/>
  <c r="V11" i="5" s="1"/>
  <c r="K11" i="5"/>
  <c r="L11" i="5" s="1"/>
  <c r="C11" i="5"/>
  <c r="U7" i="5"/>
  <c r="V7" i="5" s="1"/>
  <c r="K7" i="5"/>
  <c r="L7" i="5" s="1"/>
  <c r="C7" i="5"/>
  <c r="U5" i="5"/>
  <c r="V5" i="5" s="1"/>
  <c r="K5" i="5"/>
  <c r="L5" i="5" s="1"/>
  <c r="C5" i="5"/>
  <c r="U13" i="7"/>
  <c r="V13" i="7" s="1"/>
  <c r="K13" i="7"/>
  <c r="L13" i="7" s="1"/>
  <c r="C13" i="7"/>
  <c r="U12" i="7"/>
  <c r="V12" i="7" s="1"/>
  <c r="K12" i="7"/>
  <c r="L12" i="7" s="1"/>
  <c r="C12" i="7"/>
  <c r="U11" i="7"/>
  <c r="V11" i="7" s="1"/>
  <c r="K11" i="7"/>
  <c r="L11" i="7" s="1"/>
  <c r="C11" i="7"/>
  <c r="U6" i="7"/>
  <c r="V6" i="7" s="1"/>
  <c r="L6" i="7"/>
  <c r="K6" i="7"/>
  <c r="C6" i="7"/>
  <c r="U5" i="7"/>
  <c r="V5" i="7" s="1"/>
  <c r="K5" i="7"/>
  <c r="L5" i="7" s="1"/>
  <c r="C5" i="7"/>
  <c r="U5" i="1"/>
  <c r="U6" i="1"/>
  <c r="U10" i="1"/>
  <c r="U12" i="1"/>
  <c r="U14" i="1"/>
  <c r="U15" i="1"/>
  <c r="U16" i="1"/>
  <c r="U17" i="1"/>
  <c r="U18" i="1"/>
  <c r="U19" i="1"/>
  <c r="U20" i="1"/>
  <c r="U21" i="1"/>
  <c r="U22" i="1"/>
  <c r="U23" i="1"/>
  <c r="U24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K5" i="1"/>
  <c r="K6" i="1"/>
  <c r="K10" i="1"/>
  <c r="K12" i="1"/>
  <c r="K14" i="1"/>
  <c r="K15" i="1"/>
  <c r="K16" i="1"/>
  <c r="K17" i="1"/>
  <c r="K18" i="1"/>
  <c r="K19" i="1"/>
  <c r="K20" i="1"/>
  <c r="K21" i="1"/>
  <c r="K22" i="1"/>
  <c r="K23" i="1"/>
  <c r="K24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V33" i="1" l="1"/>
  <c r="V34" i="1"/>
  <c r="V35" i="1"/>
  <c r="V36" i="1"/>
  <c r="V37" i="1"/>
  <c r="V38" i="1"/>
  <c r="V39" i="1"/>
  <c r="L5" i="1"/>
  <c r="L6" i="1"/>
  <c r="L10" i="1"/>
  <c r="L12" i="1"/>
  <c r="L14" i="1"/>
  <c r="L15" i="1"/>
  <c r="L16" i="1"/>
  <c r="L17" i="1"/>
  <c r="L18" i="1"/>
  <c r="L19" i="1"/>
  <c r="L20" i="1"/>
  <c r="L21" i="1"/>
  <c r="L22" i="1"/>
  <c r="L23" i="1"/>
  <c r="L24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V32" i="1" l="1"/>
  <c r="V31" i="1"/>
  <c r="V30" i="1"/>
  <c r="V29" i="1"/>
  <c r="V28" i="1"/>
  <c r="V27" i="1"/>
  <c r="V26" i="1"/>
  <c r="V24" i="1"/>
  <c r="V23" i="1"/>
  <c r="V22" i="1"/>
  <c r="V21" i="1"/>
  <c r="V20" i="1"/>
  <c r="V19" i="1"/>
  <c r="V18" i="1"/>
  <c r="V17" i="1"/>
  <c r="V16" i="1"/>
  <c r="V15" i="1"/>
  <c r="V14" i="1"/>
  <c r="V12" i="1"/>
  <c r="V11" i="1" l="1"/>
  <c r="V10" i="1"/>
  <c r="V6" i="1"/>
  <c r="V5" i="1"/>
</calcChain>
</file>

<file path=xl/sharedStrings.xml><?xml version="1.0" encoding="utf-8"?>
<sst xmlns="http://schemas.openxmlformats.org/spreadsheetml/2006/main" count="742" uniqueCount="412">
  <si>
    <t>Наименование опасности</t>
  </si>
  <si>
    <t>Последовательность событий</t>
  </si>
  <si>
    <t xml:space="preserve">Опасная ситуация </t>
  </si>
  <si>
    <t xml:space="preserve">Вред </t>
  </si>
  <si>
    <t>Тяжесть вреда, балл</t>
  </si>
  <si>
    <t>Вероятность причинения вреда, балл</t>
  </si>
  <si>
    <t>Риск, балл</t>
  </si>
  <si>
    <t>Уровень риска (доп./не доп.)</t>
  </si>
  <si>
    <t>Контроль риска</t>
  </si>
  <si>
    <t>Меры по управлению риском</t>
  </si>
  <si>
    <t>Верификация мер по управлению риском</t>
  </si>
  <si>
    <t>Достигнутый риск и его уровень</t>
  </si>
  <si>
    <t>Безопасность, заложенная в конструкции</t>
  </si>
  <si>
    <t>Защитная мера/ средство</t>
  </si>
  <si>
    <t>Информация по безопасности</t>
  </si>
  <si>
    <t>10.01..</t>
  </si>
  <si>
    <t>10.02..</t>
  </si>
  <si>
    <t>10.03..</t>
  </si>
  <si>
    <t>Вывод:</t>
  </si>
  <si>
    <t>Отчет составил:</t>
  </si>
  <si>
    <t>_____________________________      ______________   _________________________</t>
  </si>
  <si>
    <t>11.01..</t>
  </si>
  <si>
    <t>11.02..</t>
  </si>
  <si>
    <t>11.03..</t>
  </si>
  <si>
    <t>Эксплуатация</t>
  </si>
  <si>
    <t>Подключение аппарата к сети с помехами</t>
  </si>
  <si>
    <t>Неустойчивость к радиочастотному электромагнитному излучению от беспроводного электромагнитного оборудования</t>
  </si>
  <si>
    <t>Короткое замыкание или обрыв в цепях пропорциональных клапанов или клапана выдоха аппарата</t>
  </si>
  <si>
    <t>Короткое замыкание на выходе встроенного источника питания</t>
  </si>
  <si>
    <t>Перегрев или выход из строя источника питания</t>
  </si>
  <si>
    <t>Короткое замыкание или перегрузка в цепях платы питания</t>
  </si>
  <si>
    <t>Перегрев источника питания или аккумулятора, перегрев или выход из строя узлов платы питания.</t>
  </si>
  <si>
    <t>Короткое замыкание в цепях питания платы расширений</t>
  </si>
  <si>
    <t>Перегрузка платы питания, перегрузка источника питания или аккумулятора</t>
  </si>
  <si>
    <t>было</t>
  </si>
  <si>
    <t>стало</t>
  </si>
  <si>
    <t xml:space="preserve">Пункт 4.2 ФАЙЛ ПРОЕКТИРОВАНИЯ С УЧЕТОМ ЭКСПЛУАТАЦИОННОЙ ПРИГОДНОСТИ
В настоящем стандарте используется термин ФАЙЛ ПРОЕКТИРОВАНИЯ С УЧЕТОМ ЭКСПЛУАТАЦИОННОЙ ПРИГОДНОСТИ с целью обозначения того, где именно ИЗГОТОВИТЕЛЬ установил местоположение всех ЗАПИСЕЙ и других документов, имеющих отношение к ПРОЕКТИРОВАНИЮ С УЧЕТОМ ЭКСПЛУАТАЦИОННОЙ ПРИГОДНОСТИ. Это облегчает ПРОЦЕСС ПРОЕКТИРОВАНИЯ С УЧЕТОМ ЭКСПЛУАТАЦИОННОЙ ПРИГОДНОСТИ и позволяет более эффективно проводить аудит на соответствие настоящему стандарту. Прослеживаемость требуется для демонстрации того, что был применен ПРОЦЕСС ПРОЕКТИРОВАНИЯ С УЧЕТОМ ЭКСПЛУАТАЦИОННОЙ ПРИГОДНОСТИ.
ЗАПИСИ и другие документы, составляющие ФАЙЛ ПРОЕКТИРОВАНИЯ С УЧЕТОМ ЭКСПЛУАТАЦИОННОЙ ПРИГОДНОСТИ, могут быть частью других требуемых документов и файлов, например ФАЙЛА МЕНЕДЖМЕНТА РИСКА. ФАЙЛ ПРОЕКТИРОВАНИЯ С УЧЕТОМ ЭКСПЛУАТАЦИОННОЙ ПРИГОДНОСТИ не обязательно должен физически содержать все ЗАПИСИ и другие документы, но он должен содержать как минимум ссылки или указатели на всю требуемую документацию.
</t>
  </si>
  <si>
    <t>Определение 3.18 ФАЙЛ ПРОЕКТИРОВАНИЯ С УЧЕТОМ ЭКСПЛУАТАЦИОННОЙ ПРИГОДНОСТИ</t>
  </si>
  <si>
    <t>Определение 3.16 ЭКСПЛУАТАЦИОННАЯ ПРИГОДНОСТЬ</t>
  </si>
  <si>
    <t>ЭКСПЛУАТАЦИОННАЯ ПРИГОДНОСТЬ создается характеристиками ПОЛЬЗОВАТЕЛЬСКОГО ИНТЕРФЕЙСА, которые облегчают его использование, т.е. способствуют восприятию ПОЛЬЗОВАТЕЛЕМ информации от ПОЛЬЗОВАТЕЛЬСКОГО ИНТЕРФЕЙСА, пониманию и принятию решений на основе этой информации, а также взаимодействию с МЕДИЦИНСКИМ ИЗДЕЛИЕМ для достижения заданных целей в предусмотренной СРЕДЕ ПРИМЕНЕНИЯ. Многие из этих факторов могут в различной степени влиять на БЕЗОПАСНОСТЬ. Время, необходимое для ознакомления с МЕДИЦИНСКИМ ИЗДЕЛИЕМ и его работой, называется "обучаемостью" (см. ИСО 9241-11:1998, таблица В.2), которая может повлиять на БЕЗОПАСНОСТЬ. Отсутствие дискомфорта и позитивное отношение к использованию МЕДИЦИНСКОГО ИЗДЕЛИЯ называются "удовлетворенностью" (см. ИСО 9241-11:1998, определение 3.4).</t>
  </si>
  <si>
    <t xml:space="preserve"> ФАЙЛ ПРОЕКТИРОВАНИЯ С УЧЕТОМ ЭКСПЛУАТАЦИОННОЙ ПРИГОДНОСТИ часто является частью ФАЙЛА МЕНЕДЖМЕНТА РИСКА. Не требуется, чтобы ФАЙЛ ПРОЕКТИРОВАНИЯ С УЧЕТОМ ЭКСПЛУАТАЦИОННОЙ ПРИГОДНОСТИ хранился отдельно от ФАЙЛА МЕНЕДЖМЕНТА РИСКА. ФАЙЛ ПРОЕКТИРОВАНИЯ С УЧЕТОМ ЭКСПЛУАТАЦИОННОЙ ПРИГОДНОСТИ не обязательно должен физически содержать все ЗАПИСИ и другие документы, созданные в результате деятельности по ПРОЕКТИРОВАНИЮ С УЧЕТОМ ЭКСПЛУАТАЦИОННОЙ ПРИГОДНОСТИ. Однако он должен содержать, по меньшей мере, ссылки или указания на всю требуемую документацию.</t>
  </si>
  <si>
    <t>Схемотехнические решения - ЭМИ фильтры на входах и выходах ПП, ферритовые фильтры на кабелях и шлейфах</t>
  </si>
  <si>
    <t>Схемотехнические решения - защитные ESD компоненты на ПП, шина заземления, фильтры на кабелях и ПП</t>
  </si>
  <si>
    <t xml:space="preserve">Выбран источник питания, удовлетворяющий требованиям по излучению кондуктивных помех. Применен коннектор ввода 220 В со встроенным фильтром. </t>
  </si>
  <si>
    <t>Выбран источник питания, удовлетворяющий требованиям по эмиссии гармонических составляющих тока</t>
  </si>
  <si>
    <t xml:space="preserve">Выбран источник питания, удовлетворяющий требованиям по фликер шуму. Работа аппарата не приводит к изменениям напряжения сети 220 В </t>
  </si>
  <si>
    <t>Отсутствие в конструкции магниточувствительных компонентов</t>
  </si>
  <si>
    <t>Программный контроль тока в цепях. Отключение цепи при КЗ. Индикация ошибки при возникновении обрыва или КЗ в цепях клапанов</t>
  </si>
  <si>
    <t>Встроенная в источник питания схема защиты от перегрузки по току. Отключение выхода источника, перезапуск.</t>
  </si>
  <si>
    <t xml:space="preserve">Электронный предохранитель на плате питания, мониторинг токов во входных и выходных цепях платы питания. Отключение выходов платы при перегрузке, индикация ошибки </t>
  </si>
  <si>
    <t>Плавкий предохранитель на плате расширений. Мониторинг тока в цепи питания платы расширений. Индикация ошибки при КЗ и срабатывании предохранителя.</t>
  </si>
  <si>
    <t>2.11 постпроизводство (post-production): Часть жизненного цикла изделия после окончания его проектирования и изготовления.
Пример - К постпроизводству относят: транспортирование, хранение, монтаж, применение изделия, техническое обслуживание, ремонт, модификацию, снятие с эксплуатации и утилизацию.</t>
  </si>
  <si>
    <r>
      <t xml:space="preserve">2.22 </t>
    </r>
    <r>
      <rPr>
        <b/>
        <sz val="11"/>
        <color theme="1"/>
        <rFont val="Calibri"/>
        <family val="2"/>
        <scheme val="minor"/>
      </rPr>
      <t>менеджмент риска</t>
    </r>
    <r>
      <rPr>
        <sz val="11"/>
        <color theme="1"/>
        <rFont val="Calibri"/>
        <family val="2"/>
        <scheme val="minor"/>
      </rPr>
      <t xml:space="preserve"> (risk management): Систематическое применение политики, процедур и практических методов менеджмента для решения задач анализа, оценивания, управления и мониторинга риска.</t>
    </r>
  </si>
  <si>
    <r>
      <t xml:space="preserve">2.23 </t>
    </r>
    <r>
      <rPr>
        <b/>
        <sz val="11"/>
        <color theme="1"/>
        <rFont val="Calibri"/>
        <family val="2"/>
        <scheme val="minor"/>
      </rPr>
      <t>файл менеджмента риска</t>
    </r>
    <r>
      <rPr>
        <sz val="11"/>
        <color theme="1"/>
        <rFont val="Calibri"/>
        <family val="2"/>
        <scheme val="minor"/>
      </rPr>
      <t xml:space="preserve"> (risk management file): Совокупность записей и других документов, создаваемых в процессе менеджмента риска.</t>
    </r>
  </si>
  <si>
    <t>Этап жизненного цикла изделия</t>
  </si>
  <si>
    <t>Пусто</t>
  </si>
  <si>
    <t>Установка фильтра кондуктивных помех на входе прибора</t>
  </si>
  <si>
    <t xml:space="preserve">Смерть пациента </t>
  </si>
  <si>
    <t xml:space="preserve">Нарушение функциональности электронного оборудования, вред здоровью пациента или смерть 
</t>
  </si>
  <si>
    <t>Смерть или серьезный вред здоровью пациента</t>
  </si>
  <si>
    <t xml:space="preserve">Вред здоровью или смерть пациента или мед персонала, материальный ущерб </t>
  </si>
  <si>
    <t>Испытания на ЭМС по IEC 60601-1-2:2014 (16)</t>
  </si>
  <si>
    <t>Испытания по методике 1 внутренних испытаний. См. Приложение1</t>
  </si>
  <si>
    <t>Испытания по методике 2 внутренних испытаний. См. Приложение1</t>
  </si>
  <si>
    <t>Испытания по методике 3 внутренних испытаний. См. Приложение1</t>
  </si>
  <si>
    <t>Испытания по методике 4 внутренних испытаний. См. Приложение1</t>
  </si>
  <si>
    <t>Выявленные риски находятся в допустимых границах, меры по снижению значений рисков и специального управления остаточных рисков не требуются.___</t>
  </si>
  <si>
    <r>
      <t xml:space="preserve">Обобщенная оценка опасностей: </t>
    </r>
    <r>
      <rPr>
        <u/>
        <sz val="11"/>
        <color theme="1"/>
        <rFont val="Calibri"/>
        <family val="2"/>
        <charset val="204"/>
        <scheme val="minor"/>
      </rPr>
      <t>Аппарат искуственной вентиляции лёгких b1 является аппаратом с допустимым уровнем риска</t>
    </r>
  </si>
  <si>
    <t xml:space="preserve">        (должность)                                     (подпись)                                   (ФИО)</t>
  </si>
  <si>
    <t>Анализ остаточный риск/польза</t>
  </si>
  <si>
    <t>Новые риски в результате принятия мер по управлению</t>
  </si>
  <si>
    <t>Кондуктивные помехи по сети 220 В</t>
  </si>
  <si>
    <t xml:space="preserve">Нарушение функциональности аппарата,  кратковременная или полная остановка с прекращением вентиляции легких пациента.   </t>
  </si>
  <si>
    <t>Неустойчивость к кондуктивным помехам, наведенным радиочастотными электромагнитными полями</t>
  </si>
  <si>
    <t>Подключение аппарата к сети с помехами. Сбои в работе аппарата</t>
  </si>
  <si>
    <t>Неустойчивость к наносекундным импульсным помехам в сети 220 В</t>
  </si>
  <si>
    <t>Неустойчивость к микросекундным импульсным помехам большой энергии</t>
  </si>
  <si>
    <t>Неустойчивость к провалам, кратковременным прерываниям и изменениям напряжения электропитания</t>
  </si>
  <si>
    <t>Провалы в питающей сети приводят к сбоям в работе аппарата</t>
  </si>
  <si>
    <t xml:space="preserve">Применен источник питания, работающий в широком диапазоне напряжений питания 220 В. Автоматическое переключение на питание от  встроенного аккумулятора.  </t>
  </si>
  <si>
    <t>Нарушение изоляции или обрыв проводов, контакт оголённого проводника с корпусом аппарата.</t>
  </si>
  <si>
    <t>Высокое напряжение на корпусе аппарата или находящихся снаружи металлических частей</t>
  </si>
  <si>
    <t>Ток утечки на корпус, землю, пациента</t>
  </si>
  <si>
    <t>1. Ожог
2. Смерть</t>
  </si>
  <si>
    <t xml:space="preserve">Смерть  </t>
  </si>
  <si>
    <t xml:space="preserve">Смерть </t>
  </si>
  <si>
    <t>Выбор материалов корпуса не проводящих ток. Заземление металлических частей аппарата</t>
  </si>
  <si>
    <t>Повышенный уровень электромагнитного излучения (ЭМИ) аппарата</t>
  </si>
  <si>
    <t xml:space="preserve">Повышенный уровень ЭМИ приводит к электромагнитным помехам для РЭА   </t>
  </si>
  <si>
    <t xml:space="preserve">Негативное влияние на близко расположенное электронное оборудование </t>
  </si>
  <si>
    <t xml:space="preserve">Неустойчивость к внешнему электромагнитному полю (ЭМП) </t>
  </si>
  <si>
    <t>Появление паразитного сигнала или уровня на датчиках измерительной системы</t>
  </si>
  <si>
    <t>1. Потеря точности управления и контроля заданными величинами потока, давления и объёма вентиляции</t>
  </si>
  <si>
    <t>1.Гиповентиляция; 2.Гипервентиляция;</t>
  </si>
  <si>
    <t xml:space="preserve">Неустойчивость к электростатическим разрядам </t>
  </si>
  <si>
    <t>Разряд статического электричества приводит к зависанию микроконтроллеров аппарата</t>
  </si>
  <si>
    <t xml:space="preserve">Кратковременная или полная остановка работы аппарата ИВЛ с прекращением вентиляции легких пациента   </t>
  </si>
  <si>
    <t>Превышение нормы излучения кондуктивных индустриальных помех</t>
  </si>
  <si>
    <t>Помеха от аппарата ИВЛ распространяется по питающей сети 220 В</t>
  </si>
  <si>
    <t>Негативное влияние на РЭА, подключенную к тому же сегменту электросети, что и аппарат</t>
  </si>
  <si>
    <t>Превышение нормы эмиссии гармонических составляющих тока в сети 220 В</t>
  </si>
  <si>
    <t>Негативное влияние на РЭА, подключенную к тому же сегменту электросети что и аппарат</t>
  </si>
  <si>
    <t>Влияние на сеть 220 В, колебания напряжения и фликер в сети 220 В.</t>
  </si>
  <si>
    <t>Неустойчивость к магнитному полю промышленной частоты</t>
  </si>
  <si>
    <t>Работа аппарата в условиях воздействия магнитного поля промышленной частоты. Сбои в работе аппарата</t>
  </si>
  <si>
    <t>Работа аппарата вблизи радиопередающих устройств приводит к искажению измеряемых  аппаратом параметров</t>
  </si>
  <si>
    <t>Ошибочные установки приводят к возникновению опасности для здоровья пациента</t>
  </si>
  <si>
    <t>Замыкание приводит к сбоям в работе аппарата</t>
  </si>
  <si>
    <t xml:space="preserve">Нарушение функциональности аппарата,  кратковременная или полная остановка с прекращением вентиляции легких пациента. Вероятность возгорания   </t>
  </si>
  <si>
    <t>Схемотехнические решения - ЭМИ фильтры на входах и выходах печатных плат (ПП), ферритовые фильтры на кабелях и шлейфах</t>
  </si>
  <si>
    <t>Отчет об испытаниях ЭМС ГОСТ Р 51318.11-2006 (IEC 60601-1-2:2014 (16))</t>
  </si>
  <si>
    <t>Отчет об испытаниях ЭМС. ГОСТ 30804.4.3-2013 (IEC 60601-1-2:2014 (16))</t>
  </si>
  <si>
    <t>Отчет об испытаниях ЭМС ГОСТ 30804.4.2-2013 (IEC 60601-1-2:2014 (16))</t>
  </si>
  <si>
    <t>Сертификат материала, протокол тестирования (измерение сопротивления заземления)</t>
  </si>
  <si>
    <t>Анализ соотношения остаточный риск/польза</t>
  </si>
  <si>
    <t>Тепловая энергия - подача горячего воздуха</t>
  </si>
  <si>
    <t>Эксплуатация аппарата при температуре окружающей среды более 40 град
Нагрев подаваемой на вдох воздушной смеси при прохождении через нагретые элементы турбины</t>
  </si>
  <si>
    <t>Попадание горячей смеси в лёгкие пациента</t>
  </si>
  <si>
    <t>Ожог легких
Гипоксия
Гипоксемия
Смерть</t>
  </si>
  <si>
    <t>Установка охлаждающего вентилятора для обдува радиатора турбины, установка датчика для измерения температуры подаваемой смеси</t>
  </si>
  <si>
    <t>Выход из строя охлаждающего вентилятора, выход из строя датчика температуры смеси</t>
  </si>
  <si>
    <t>Запись в РЭ диапазона рабочей температуры окружающей среды. Предупреждение "Использование аппарата вне рабочего температурного диапазона запрещено"</t>
  </si>
  <si>
    <t xml:space="preserve">Тепловая энергия - перегрев внутренних компонентов </t>
  </si>
  <si>
    <t>Остановка вентиляции</t>
  </si>
  <si>
    <t>Нагрев внетренних компонентов аппарата, выход аппарата из строя</t>
  </si>
  <si>
    <t>Смерть</t>
  </si>
  <si>
    <t>Тревога высокого приоритета: "Высокая температура смеси на вдохе"</t>
  </si>
  <si>
    <t>Тревога высокого приоритета: "Высокая температура внутри аппарата"</t>
  </si>
  <si>
    <t>Предупреждение в РЭ : "Для предотвращения перегрева внутренних компонентов аппарата располагайте его вдали от источников тепла"</t>
  </si>
  <si>
    <t>Выход из строя датчика  внутренней температуры аппарата</t>
  </si>
  <si>
    <t>Установка датчика для измерения температуры внутри корпуса аппарата</t>
  </si>
  <si>
    <t xml:space="preserve">1. Гипоксемия 
2. Гипоксия
3. Смерть пациента.
</t>
  </si>
  <si>
    <t>Тепловая энергия - Перегрев Аккумуляторной батареи</t>
  </si>
  <si>
    <t>Размещение на аппарате ёмкостей с жидкостями</t>
  </si>
  <si>
    <t>Использование шлангов высокого давления, если они изношены или загрязнены легковоспламеняющимися веществами, например смазкой или маслом</t>
  </si>
  <si>
    <t>Использование дыхательных контуров не предназначенных для использования в обогащённой кислородом среде</t>
  </si>
  <si>
    <t>Использование кабелей не рекомендованных производителем или поврежденных кабелей</t>
  </si>
  <si>
    <t>Утечка кислорода внутри аппарата. Накопление повышенной концентрации кислорода внутри аппарата</t>
  </si>
  <si>
    <t>Возгорание / Взрыв / Пожар</t>
  </si>
  <si>
    <t xml:space="preserve">Тепловая энергия -Возгорание </t>
  </si>
  <si>
    <t>Соответствующая запись в инструкции по эксплуатации</t>
  </si>
  <si>
    <t>Предупреждение в РЭ: "Запрещено размещать на аппарате ёмкости с жидкостями"</t>
  </si>
  <si>
    <t>Установка вентилятора для создания избыточного давления с целью вытеснения обогащённой кислородом смеси из аппарата</t>
  </si>
  <si>
    <t>Потеря сознания
Гипоксемия
Нарушение обмена веществ
Повреждение мозга
Ожог
Смерть</t>
  </si>
  <si>
    <t>Отсутствие резервного источника питания (АКБ),
Остановка вентиляции (в случае пропадания внешнего питания), возгорание</t>
  </si>
  <si>
    <t>Выход из строя компонентов батареи или внешний нагрев</t>
  </si>
  <si>
    <t>Аппаратное средство - предохранитель обесточивающий батарею при перегреве. 
Использование аккумуляторов с механической защитой по температуре</t>
  </si>
  <si>
    <t>Тревога высокого приоритета: "Высокая температура батареи"</t>
  </si>
  <si>
    <t>Запись в РЭ : действия оператора при возникновении данной тревоги</t>
  </si>
  <si>
    <t>воспламенение и/или поражение электрическим током</t>
  </si>
  <si>
    <t>Ожог
смерть</t>
  </si>
  <si>
    <t>При разработке корпуса аппарата верхняя крышка должна быть наклонена под углом относительно горизонта</t>
  </si>
  <si>
    <t>эксплуатация аппарата ИВЛ в среде, содержащей легковоспламеняемые или взрывоопасные вещества (например, в месте хранения легковоспламеняющихся анестетиков или других подобных источников), либо в недостаточно проветриваемых помещениях. Использование аппарата с оборудованием, загрязненным маслом или смазочными веществами. Контакт кислорода с воспламеняемыми веществами</t>
  </si>
  <si>
    <t>Механическая энергия - падение / потеря устойчивочти</t>
  </si>
  <si>
    <t>Блокровка колёс тележки при передвижении, падение/опрокидывание аппарата</t>
  </si>
  <si>
    <t>Поломка аппарата / остановка вентиляции</t>
  </si>
  <si>
    <t>Аппарат установлен на столе со скользящей поверхностью, непреднамеренное смещение аппарата, потеря устойчивочти, падение</t>
  </si>
  <si>
    <t>Этикетка на корпусе аппарата "НЕ ТОЛКАТЬ"</t>
  </si>
  <si>
    <t>Предупреждение в РЭ: "Перед началом передвижения аппарата, убедитесь, что все колёса тележки разблокированы", 
"При перемещении аппарата на тележке следите, чтобы по ходу движения отсутствовали препятствия"</t>
  </si>
  <si>
    <t>Резиновые ножки на нижней стенке аппарата</t>
  </si>
  <si>
    <t>Запись в РЭ:
"При использовании аппарата на столе, края стола должны иметь защитные борты не менее 30мм высотой"</t>
  </si>
  <si>
    <t>Неправильное функционирование аппарата</t>
  </si>
  <si>
    <t>Механическая энергия - Внешние повреждения</t>
  </si>
  <si>
    <t>Небрежное обращение, падение или удар аппарата, сколы или трещины корпуса</t>
  </si>
  <si>
    <t>Запись в РЭ:
"Не используйте аппарат ИВЛ при наличии внешних повреждений какого-либо из его компонентов"</t>
  </si>
  <si>
    <t>Электромагнитная энерги - магнитные поля от МРТ</t>
  </si>
  <si>
    <t>Остановка вентиляции / вред мед персоналу</t>
  </si>
  <si>
    <t>Использование аппарата совместно с МРТ, выход аппарата из строя</t>
  </si>
  <si>
    <t>Ожог дыхательных путей</t>
  </si>
  <si>
    <t>Включение нагревателя увлажнителя при отсутствии подачи газовой смеси (например, при выключенной вентиляции)</t>
  </si>
  <si>
    <t>Попадание горячего воздуха в дыхательные пути пациента</t>
  </si>
  <si>
    <t>Запись в РЭ:
Не включайте увлажнитель до запуска подачи газовой смеси и нормализации ее потока. Выключите нагреватель, прежде чем отключить подачу газовой смеси.</t>
  </si>
  <si>
    <t xml:space="preserve">Механическая энергия - давление </t>
  </si>
  <si>
    <t>Использование в гипербарической камере</t>
  </si>
  <si>
    <t>Неточная установка давления, доставляемого объема и концентрации дыхательной смеси</t>
  </si>
  <si>
    <t>Гиповентиляция
Гипервентиляция
Повреждение мозга</t>
  </si>
  <si>
    <t>Тревога высокого приоритета:
"Давление окружающей среды слишком велико"</t>
  </si>
  <si>
    <t>Попадание зараженной дыхательной смеси в лёгкие пациента</t>
  </si>
  <si>
    <t>Биологическая опасность - Бактериальное заражение пациента</t>
  </si>
  <si>
    <t>Предупреждение в РЭ:
Во избежание заражения пациента, обязательно используйте бактериальный фильтр на патрубке вдоха</t>
  </si>
  <si>
    <t>Отсутствие бактериального фиьтра на вдохе либо использование повреждённого или не годного фильтра</t>
  </si>
  <si>
    <t>Бактериальная инфекция</t>
  </si>
  <si>
    <t>Биологическая опасность - Бактериальная, вирусная, повторная или перекрёстная инфекция</t>
  </si>
  <si>
    <t>Биосовместимость - токсичность компонентов</t>
  </si>
  <si>
    <t>Проектирование</t>
  </si>
  <si>
    <t>Химическое отравление</t>
  </si>
  <si>
    <t>Выбор токсичных материалов, контактирующих с дыхательной смесью, при проектировании, Попадание токсичных веществ в лёгкие пациента</t>
  </si>
  <si>
    <t>Химический ожог
смерть</t>
  </si>
  <si>
    <t>Выбор материалов в соответствии с ISO 10993-1</t>
  </si>
  <si>
    <t>Подтверждающие сертификаты на материалы или протокол испытаний на биосовместимость</t>
  </si>
  <si>
    <t>Химическая - медицинские газы</t>
  </si>
  <si>
    <t>Длительная подача кислородной смеси высокой концентрации</t>
  </si>
  <si>
    <t>Нарушение функции альвеол</t>
  </si>
  <si>
    <t>Ожог лёгких
Смерть</t>
  </si>
  <si>
    <t>Ограничение времени процедуры оксигенации</t>
  </si>
  <si>
    <t>Утечка памяти программ</t>
  </si>
  <si>
    <t>Использование динамического выделения памяти в процессе работы программы, последуюшие ошибки освобождения выделенной памяти в куче в процессе работы.</t>
  </si>
  <si>
    <t>1 Невозможно выделить память во время работы, нарушение работы программы
2. Внезапная остановка вентиляции</t>
  </si>
  <si>
    <t>Нарушение целостности данных  хранящихся в памяти.</t>
  </si>
  <si>
    <t>Нарушение целостности данных во время передачи между модулями аппарата</t>
  </si>
  <si>
    <t>1.  Ненадёжный электрический контакт в цепях связи
2. Статический разряд, поступление случайных данных
3. Нестабильность питания во время операции передачи данных</t>
  </si>
  <si>
    <t>1. Ложное срабатывание тревог
2. Работа аппарата с невалидными данными приведёт к  ошибке регулирования потока, давления и объёмов вентиляции
3. Внезапная остановка вентиляции</t>
  </si>
  <si>
    <t>1. Гипоксемия 
2. Гипоксия
3. Смерть пациента.</t>
  </si>
  <si>
    <t>Зависание программного кода</t>
  </si>
  <si>
    <t>1. Использование невалидных указателей в программе
2. Некорректно обрабатыаемые прерывания
3. Алгоритмические ошибки
4. Аппаратные ошибки</t>
  </si>
  <si>
    <t>1. Невозможно контролировать режим и  параметры вентиляции
2. Невозможно начать вентилирование
3. Внезапная остановка вентиляции</t>
  </si>
  <si>
    <t>Логические ошибки</t>
  </si>
  <si>
    <t>1. Ошибки в реализации моделей объектов
2. Ошибки в реализации схемы взаимодействия объектов
3. Отсутствие сокрытия данных и ограничения области видимости объектов, приводящие к сторонним эффектам при выполнении кода
4. Написание кода в изменённом состоянии сознания.</t>
  </si>
  <si>
    <t xml:space="preserve">1. Непредсказуемое поведение программы.
2. Программа не может осущестлять управление вентиляцией соответсвенно заявленным требованиям. 
3. Внезапная остановка вентиляции
</t>
  </si>
  <si>
    <t>Ошибки в архитектуре</t>
  </si>
  <si>
    <t xml:space="preserve">1. Наличие трудно прослеживаемых связей между объектами
2. Наличие неявных связей между объектами
</t>
  </si>
  <si>
    <t>Несанкционированный доступ к ПО и его изменение</t>
  </si>
  <si>
    <t>1. Вставили USB FLASH с пакетным файлом запуска, который модифицировал процедуру загрузки ПО и загружаемые программы.
2. Аппарат был скрыт произведены действия по чтению/записи FLASH контроллеров</t>
  </si>
  <si>
    <t>1. Изменена/подменена программа вентилятора</t>
  </si>
  <si>
    <t>Ошибки оператора при использовании программного обеспечения вентилятора</t>
  </si>
  <si>
    <t>Оператор всецело не осведомлён о возможностях и требованиях программного обеспечения</t>
  </si>
  <si>
    <t>Задержка в лечении пациента</t>
  </si>
  <si>
    <t xml:space="preserve">1. Эмоциональное расстройство, фрустрация оператора
</t>
  </si>
  <si>
    <t>Не сохранен/выгружен лог параметров вентилирования пациента и произошедшие тревоги.</t>
  </si>
  <si>
    <t>Использование USB накопителя несоответствующего формата</t>
  </si>
  <si>
    <t>Не сохранен/выгружен лог параметров вентилирования пациента и тревог.</t>
  </si>
  <si>
    <t>Произошла потеря связи с периферией, USB HUB</t>
  </si>
  <si>
    <t xml:space="preserve">1. В случае краткого отсутствия связи произойдёт  задержка в лечении пациента
</t>
  </si>
  <si>
    <t>1. В случае длительного отсутствия связи с USB периферией, управлять аппаратом невозможно.  Необходимость ручной вентиляции</t>
  </si>
  <si>
    <t xml:space="preserve">1. Гипоксемия 
</t>
  </si>
  <si>
    <t>Протокол технических испытаний</t>
  </si>
  <si>
    <t>Выделение памяти только при инициализации</t>
  </si>
  <si>
    <t>Разработка архитектуры ПО управления вентиляцией, исключающая потребность в динамическом выделении памяти</t>
  </si>
  <si>
    <t>Протокол проверки исходного кода</t>
  </si>
  <si>
    <t>1. Ложное срабатывание тревог
2. Работа аппарата с невалидными данными калибровки или настроек приведёт к  ошибкам регулирования потока, давления и объёма вентиляции.
3. Остановка вентиляции</t>
  </si>
  <si>
    <t>1. Статический разряд
2. Нестабильность питания во время операции записи/чтения
3. Зависание ПО</t>
  </si>
  <si>
    <t xml:space="preserve">Использование аппаратного и программного сторожевого таймера
 </t>
  </si>
  <si>
    <t>Дублирующая тревога на другом блоке аппарата</t>
  </si>
  <si>
    <t>Протокол верификации ПО</t>
  </si>
  <si>
    <t>Использование контрольной суммы для проверки целостности данных</t>
  </si>
  <si>
    <t>Разработка архитектуры ПО с разделением на независимые модули. Выделение ПО управления вентиляцией в отдельный модуль</t>
  </si>
  <si>
    <t>Использование принципов ООП и шаболнов проектирования при разработке ПО</t>
  </si>
  <si>
    <t xml:space="preserve">1. Непредсказуемое поведение программы.
2. Программа не может осущестлять управление вентиляцией соответсвенно заявленным требованиям. </t>
  </si>
  <si>
    <t>Отключение функций системы связанных с возможностью внесения изменений ПО</t>
  </si>
  <si>
    <t>Разработка специализированного загрузчика для проверки целостности ПО</t>
  </si>
  <si>
    <t>Выход из строя датчиков давления, некорректное измерение давления</t>
  </si>
  <si>
    <t>Высокое давлеине в дыхательных путях</t>
  </si>
  <si>
    <t>Установка механического клапана сброса давления в тракт вдоха</t>
  </si>
  <si>
    <t>Тревога высокого приоритета:
"Датчик давления не исправен"</t>
  </si>
  <si>
    <t>Предупреждение в РЭ:
"Рядом с аппаратом всегда должны находится средства альтернативной вентиляции"</t>
  </si>
  <si>
    <t>Химическая - Анестетики</t>
  </si>
  <si>
    <t>Использование анестетиков в дыхательной смеси</t>
  </si>
  <si>
    <t>Возгорание / Взрыв</t>
  </si>
  <si>
    <t>Ожог
Смерть</t>
  </si>
  <si>
    <t>Предупреждение в РЭ:
"Запрещается использовать оборудование в присутствии легковоспламеняющихся анестетиков, паров или жидкостей, взрывоопасных веществ, а также в плохо проветриваемом помещении"</t>
  </si>
  <si>
    <t>Предупреждение в РЭ:
"Аппарат ИВЛ не предназначен для совместного использования с МРТ.  В условиях магнитного резонанса аппарат представляет опасность для пациента, медицинских работников и других людей"</t>
  </si>
  <si>
    <t xml:space="preserve">Гипо/гипер вентиляция
Баротравма
Смерть  </t>
  </si>
  <si>
    <t>Отчёт валидации</t>
  </si>
  <si>
    <t>Тревога высокого приоритета при выходе из строя компонента(ов) аппарата</t>
  </si>
  <si>
    <t>Предупреждение в РЭ:
"Во избежание неполадок в работе оборудования, размещайте переносное радиочастотное оборудование, включая кабели антенны и внешние антенны, на расстоянии не менее 30 см от аппарата ИВЛ и его компонентов, включая кабели"</t>
  </si>
  <si>
    <t>Отчёт верификации</t>
  </si>
  <si>
    <t>Биологическая опасность - прочие возбудители заболеваний</t>
  </si>
  <si>
    <t>Попадание грязи / пыли на вдох пациента</t>
  </si>
  <si>
    <t>Риск заражения</t>
  </si>
  <si>
    <t>Раздражение слизистых оболочек
Аллергические реакции
Выход из строя турбинного блока</t>
  </si>
  <si>
    <t>Установка НЕРА фильтра в месте забора воздуха</t>
  </si>
  <si>
    <t>Повторное использование одноразового дыхательного контура
Использование многоразового дыхательного контура без дезинфекции на другом пациенте</t>
  </si>
  <si>
    <t>Предупреждение в РЭ: 
"При использовании аппарата ИВЛ должен быть обеспечен беспрепятственный доступ к альтернативным средствам вентиляции"</t>
  </si>
  <si>
    <t>Предупреждение в РЭ: 
"При использовании аппарата ИВЛ должен быть обеспечен беспрепятственный доступ к альтернативным средствам вентиляции"
"Запрещено вставлять в USB разъём устройства кроме USB накопителей"</t>
  </si>
  <si>
    <t>Предупреждение в РЭ:
"Запрещается использовать аппарат без воздушного фильтра"</t>
  </si>
  <si>
    <t xml:space="preserve">Использование компонентов дыхательного контура не включённых </t>
  </si>
  <si>
    <t>Предупреждение в РЭ:
"Используйте только одобренные производителем принадлежности к аппарату"</t>
  </si>
  <si>
    <t xml:space="preserve">Использование компонентов дыхательного контура не включённых в перечень принадлежностей </t>
  </si>
  <si>
    <t>Функуионирование - утрата или ухудшение функции</t>
  </si>
  <si>
    <t>Функционирование - неправильные или ненадлежащие результаты</t>
  </si>
  <si>
    <t>Установка противоречащих друг другу параметров вентиляции</t>
  </si>
  <si>
    <t>Функционирование - некорректные измерения</t>
  </si>
  <si>
    <t xml:space="preserve"> Нарушение целостности данных (настройки / калибровки) при включении</t>
  </si>
  <si>
    <t>Гипоксия
Гипоксемия
Баротравма
Смерть</t>
  </si>
  <si>
    <t>Проверка целостности данных. Предупреждающее сообщение оператору</t>
  </si>
  <si>
    <t>Блокировка неверных значений управляющих параметров, вводимых пользователем. Предупреждающее сообщение оператору</t>
  </si>
  <si>
    <t>Функционирование - ошибки при передаче данных</t>
  </si>
  <si>
    <t>Выход из строя датчика давления
Ошибка измерения давления</t>
  </si>
  <si>
    <t>Ошибка доставляемого объёма и регулирования давления в дыхательных путях</t>
  </si>
  <si>
    <t>Тревога высокого приоритета:
"Ошибка датчика давления"</t>
  </si>
  <si>
    <t>Задержка в лечении пациента
Остановка вентиляции</t>
  </si>
  <si>
    <t>Обрыв или замыкание линий передачи данных с блоком управления вентиляцией, невозможность управлять процессом вентиляции</t>
  </si>
  <si>
    <t>Обрыв или замыкание линий передачи данных с блоком управления турбиной</t>
  </si>
  <si>
    <t>Длительна работа турбины на высоких оборотах, перегрев двигателя турбины, выход из строя турбины</t>
  </si>
  <si>
    <t>Снижение производительности вентиляции
Остановка вентиляции</t>
  </si>
  <si>
    <t xml:space="preserve">Гипоксемия 
Гипоксия
Смерть
</t>
  </si>
  <si>
    <t>Разгерметизация дыхательного контура</t>
  </si>
  <si>
    <t>Снижение или остановка подачи дыхательной смеси пациенту</t>
  </si>
  <si>
    <t>Тревога высокого приоритета: "Разгерметизация"</t>
  </si>
  <si>
    <t>Окклюзия дыхательного контура</t>
  </si>
  <si>
    <t>Тревога высокого приоритета: "Окклюзия"</t>
  </si>
  <si>
    <t>Использование контрольных сумм при передаче данных.
Остановка двигателя турбины
Тревога высокого приоритета: "Нет связи с блоком управления турбиной"</t>
  </si>
  <si>
    <t>Использование контрольных сумм при передаче данных.
Тревога высокого приоритета: "Нет связи с блоком управления"</t>
  </si>
  <si>
    <t>Принудительное снижение оборотов турбины вплоть до остановки. 
Тревога высокого приоритета: "Перегрев турбины"</t>
  </si>
  <si>
    <t>Пациент перестал делать попытки вдоха в спонтанном режиме</t>
  </si>
  <si>
    <t>Остановка дыхания</t>
  </si>
  <si>
    <t>Автоматический переход в режим резервной вентиляции
Тревога высокого приоритета: "АПНОЭ"</t>
  </si>
  <si>
    <t>Ошибки применения - недостаток внимания</t>
  </si>
  <si>
    <t>Изменился комплайнс или сопротивление лёгких, изменился дыхательный объём до недопустимого для данного пациента значения</t>
  </si>
  <si>
    <t>Изменился дыхательный объём до критического значения для данного пациента</t>
  </si>
  <si>
    <t>Гипервентиляция</t>
  </si>
  <si>
    <t>Потеря сознания, Баротравма</t>
  </si>
  <si>
    <t xml:space="preserve">
Баротравма
Смерть</t>
  </si>
  <si>
    <t>Гипер/Гипо вентиляция</t>
  </si>
  <si>
    <t>Баротравма
Смерть</t>
  </si>
  <si>
    <t>Задержка в лечении пациента
Гипер/Гипо вентиляция
Остановка вентиляции</t>
  </si>
  <si>
    <t>Автоматическое переключение на выдох при достижении объёма &gt;= 30*IBW
Тревога высокого приоритета:
"Слишком большой объём вдоха для заданного IBW"</t>
  </si>
  <si>
    <t>Гипоксия
Гипоксемия
Баротравма</t>
  </si>
  <si>
    <t>Регулировка допустимого диапазона дыхательного объёма
Тревога среднего приоритета: "Дыхательный объем ниже установленной границы"
"Дыхательный объем выше установленной границы"</t>
  </si>
  <si>
    <t>Превышение установленного верхнего предела пикового давления</t>
  </si>
  <si>
    <t>Автоматическое переключение на выдох.
Тревога высокого приоритета:
"Давление в дыхательных путях выше установленной гранийцы"</t>
  </si>
  <si>
    <t>Уменьшение SpO2 до недопустимого для пациента уровня</t>
  </si>
  <si>
    <t>Гипоксия
Гипоксемия
Смерть</t>
  </si>
  <si>
    <t>Отсутствие постоянного контроля измеренного значения SpO2 со стороны врача</t>
  </si>
  <si>
    <t>Тревога всокого приоритета:
"SpO2 ниже установленной границы"</t>
  </si>
  <si>
    <t>Обучение работе с аппаратом при его поставке/установке  в медицинское учреждение</t>
  </si>
  <si>
    <t>Информация в РЭ о квалификации операторов, которым разрешено работать с аппаратом</t>
  </si>
  <si>
    <t>Ошибки применения - забывчивость</t>
  </si>
  <si>
    <t>Отключение внешнего питания, переключение на питание от батареи, разряд батареи</t>
  </si>
  <si>
    <t>Тревога низкого приоритета: "Питание от батареи"
Тревога высокого приоритета:
"Батарея разряжена"</t>
  </si>
  <si>
    <t>Ошибки применения - незнание правил / недостаточность знаний / нарушение установленного порядка</t>
  </si>
  <si>
    <t>Маркировка - ненадлежащее описание характеристик или информации об ограничениях</t>
  </si>
  <si>
    <t>Подключение аппарата к сети не соответствующей требованиям
Выход из строя аппарата</t>
  </si>
  <si>
    <t>Допуск к работе с аппаратом неквалифицированного оператора, неверные установки параметров вентиляции, неправильная эксплуатация
Выход из строя аппарата</t>
  </si>
  <si>
    <t>Задержка лечения
Остановка вентиляции</t>
  </si>
  <si>
    <t>Информация о параметрах питающей сети, указываемая на этикетке на корпусе аппарата должна соответствовать требованиям IEC 60601-1</t>
  </si>
  <si>
    <t>Информация в РЭ о требованиях к параметрам питающей сети</t>
  </si>
  <si>
    <t>Маркировка - нечёткие или не износостойкие знаки</t>
  </si>
  <si>
    <t>Размещение на корпусе аппарата маркировки слишком маленького размера или использование материалов не устойчивых к чистящим средствам указанных в РЭ, неправильная эксплуатация, выход из строя аппарата</t>
  </si>
  <si>
    <t>Для маркировки должны использоваться износостойкие материалы в соответствии с требованиями IEC 60601-1</t>
  </si>
  <si>
    <t>Инструкция по эксплуатации - Ненадлежащая спецификация на принадлежности, применяемые совместно аппаратом</t>
  </si>
  <si>
    <t>Использование принадлежностей не совместимых с аппаратом или опасных для пациента</t>
  </si>
  <si>
    <t>Информация о принадлежностях в РЭ и в ТУ должна включать их характеристики в объёме, достаточном для правильного использования</t>
  </si>
  <si>
    <t>Инструкция по эксплуатации - Недостаточно полная ин-струкция для использова-ния</t>
  </si>
  <si>
    <t>Выполнение оператором действий или использование функций аппарата, которые не описаны в эксплуатационной документации</t>
  </si>
  <si>
    <t>Блокировка неверных значений параметров, вводимых пользователем. Предупреждающее сообщение оператору. Блокировка выполнения функций, если их выполнение опасно для конкретного пациента или текущего состояния пациента</t>
  </si>
  <si>
    <t>Гипоксия
Гипоксемия
Аллергические реакции
Баротравма
Смерть</t>
  </si>
  <si>
    <t>Инструкция по эксплуатации - Ненадлежащее описание предусмотренного приме-нения</t>
  </si>
  <si>
    <t>Использование аппарата не по назначению (например для ингаляции или проведения терапии не связанной с ИВЛ)</t>
  </si>
  <si>
    <t>Угроза жизни и здоровью оператора и(или) пациента.</t>
  </si>
  <si>
    <t>В РЭ должна содержаться полная информация предусмотренному применению</t>
  </si>
  <si>
    <t>Инструкция по эксплуатации - Ненадлежащие спецификации на проверочные испытания перед применением изделия</t>
  </si>
  <si>
    <t>Производство</t>
  </si>
  <si>
    <t>Некорректные результаты испытаний, выпуск бракованного аппарата</t>
  </si>
  <si>
    <t>Определение критериев качества и составление плана тестирования должно осуществляться квалифицированным персоналом</t>
  </si>
  <si>
    <t>Протокол квалификационных испытаний</t>
  </si>
  <si>
    <t>Инструкция по эксплуатации - Слишком сложная иструкция по эксплуатации</t>
  </si>
  <si>
    <t>Недостаточный уровень знаний по работе с аппаратом, некорректная работа с аппаратом, выход из строя аппарата</t>
  </si>
  <si>
    <t>В РЭ должна содержаться полная информация по всем характеристикам, функциям и опасным ситуациям, связанная с применением, хранением, транспортировкой и утилизацией аппарата. Содержание РЭ должно соответствовать требованиям IEC 60601-1 и IEC 80601</t>
  </si>
  <si>
    <t>Предупреждения - Требования к техническому обслуживанию и текущему ремонту</t>
  </si>
  <si>
    <t>Предупреждения - 
О побочных эффектах</t>
  </si>
  <si>
    <t>Отсутствие в РЭ информации о побочных эффектах, применение аппарата на пациентах, для которых данные побочные эффекты являются критическими или фатальными</t>
  </si>
  <si>
    <t>Угроза жизни и здоровью пациента.</t>
  </si>
  <si>
    <t>Запись в РЭ о побочных эффектах от применения аппарата или отдельных его функций</t>
  </si>
  <si>
    <t>Несвоевременное или ненадлежащее техническое обслуживание, выход из строя аппарата</t>
  </si>
  <si>
    <t>В РЭ должна содержаться информация о периодичности проведения технического обслуживания</t>
  </si>
  <si>
    <t>Оповещение оператора о необходимости проведения технического обслуживания</t>
  </si>
  <si>
    <t>Обрыв или замыкание линий передачи данных с блоком мониторинга</t>
  </si>
  <si>
    <t>Задержка в лечении пациента
Отсутствие обратной связи о состоянии пациента</t>
  </si>
  <si>
    <t>Гипоксия
Гипоксемия
Гиперкапния
Смерть</t>
  </si>
  <si>
    <t>Тревога высокого приоритета:
"Нет связи с блоком мониторинга"</t>
  </si>
  <si>
    <t>Предупреждение в РЭ: 
"При использовании аппарата ИВЛ должен быть обеспечен беспрепятственный доступ к дополнительным средствам мониторинга параметров пульсоксиметрии и капнометрии в случае отсутствия или выхода из строя данных опций в аппарате"</t>
  </si>
  <si>
    <t>Обрыв или замыкание линий передачи данных с блоком питания, отсутствие информации о состоянии батареи и питающей сети</t>
  </si>
  <si>
    <t>Внезапная остановка вентиляции</t>
  </si>
  <si>
    <t>Тревога высокого приоритета:
"Нет связи с блоком питания"</t>
  </si>
  <si>
    <t>Обрыв или замыкание линий управления клапаном выдоха, Падение давления в дыхательном контуре</t>
  </si>
  <si>
    <t>Гиповентиляция</t>
  </si>
  <si>
    <t>Выход из строя датчика потока</t>
  </si>
  <si>
    <t>Тест клапана выдоха при включении аппарата.
Тревога высокого приоритета: "Ошибка клапана выдоха"</t>
  </si>
  <si>
    <t xml:space="preserve">Ошибка доставляемого объёма </t>
  </si>
  <si>
    <t>Тестирование датчика потока при включении аппарата.
Тревога высокого приоритета:
"Ошибка датчика потока"</t>
  </si>
  <si>
    <t>Выход из строя датчика температуры смеси на вдохе</t>
  </si>
  <si>
    <t>Тревога высокого приоритета: "Ошибка датчика температуры смеси"</t>
  </si>
  <si>
    <t>Обрыв или замыкание линий управления пропорциональным клапаном подачи кислорода, снижение концентрации кислорода в смеси</t>
  </si>
  <si>
    <t>Тест пропорционального клапана подачи кислорода при включении аппарата.
Тревога высокого приоритета: "Ошибка подачи кислорода"
Переключение на подачу смеси с помощью турбины</t>
  </si>
  <si>
    <t>Подача смеси в лёгкие с низкой концентрацией кислорода или
Остановка вентиляции</t>
  </si>
  <si>
    <t>Ухудшение точности концентрации кислорода в подаваемой смеси</t>
  </si>
  <si>
    <t>Гипоксия
Гипоксемия</t>
  </si>
  <si>
    <t>Выработка ресурса или выход из строя датчика кислорода</t>
  </si>
  <si>
    <t>Тревога среднего приоритета: "Датчик кислорода не подключен или не исправен"</t>
  </si>
  <si>
    <t>РЭ должно быть разделено на рызделы 
1.Техника безопасности
2. Общие сведения
3. Подготовка аппарата ИВЛ
4. Сопряжение с внешними устройствами и датчиками
5. Выбор настроек аппарата ИВЛ
6. Режимы вентиляции
7. Мониторинг вентиляции
8. Реагирование на тревоги
9. Функции аппарата
10 Настройки аппарата ИВЛ
11 Технические характеристики
12. Техническое обслуживание</t>
  </si>
  <si>
    <t>Обрыв или замыкание линий звуковой тревожной сигнализации</t>
  </si>
  <si>
    <t>Обрыв или замыкание линий управления пропорциональным клапаном потока небулайзера, утрата функции небулайзера</t>
  </si>
  <si>
    <t>Обрыв или замыкание обмоток двигателя, датчиков положения, датчика температуры турбины
Размагничивание двигателя, несоответствие характеристик турбины.
Заклинивание крыльчатки</t>
  </si>
  <si>
    <t>Тест при включении.
Тревога высокого приоритета: "Неисправность звуковой тревожной сигнализации"</t>
  </si>
  <si>
    <t>Контроль звука через динамик. Резервная звуковая тревога в модуле управления вентиляцией</t>
  </si>
  <si>
    <t>Отсутствие звукового оповещения оператора об опасной ситуации</t>
  </si>
  <si>
    <t>Предупреждение в РЭ о необходимости проверки звукового сигнала оператором при включении аппарата</t>
  </si>
  <si>
    <t>Тест турбины при включении.
Тревога высокого приоритета: "Ошибка турбины"</t>
  </si>
  <si>
    <t>Тест пропорционального клапана поотока небулайзера при включении аппарата.
Тревога высокого приоритета: "Ошибка клапана небулайзера"</t>
  </si>
  <si>
    <t>Случайное выдёргивание сетевого питающего кабеля</t>
  </si>
  <si>
    <t>Использование коннектора сетевого кабеля с фиксатором-защёлкой</t>
  </si>
  <si>
    <t>Меры по управлению рисками, связанными с ПО, позволяют классифицировать ПО аппарата по классу B</t>
  </si>
  <si>
    <t>Ожог легких
Смерть</t>
  </si>
  <si>
    <t xml:space="preserve">Обструкция дыхательных путей
Гипоксия
</t>
  </si>
  <si>
    <t>Исключить компоненты и принадлежности содержащие фталаты</t>
  </si>
  <si>
    <t>Обструкция дыхательных путей
Химический ожог
смерть</t>
  </si>
  <si>
    <t xml:space="preserve">Испытания на ЭМС по IEC 60601-1-2:2014 (16), протокол № п. …. </t>
  </si>
  <si>
    <t>Риски связанные с применением аккулммулятора, IEC 60601</t>
  </si>
  <si>
    <t>Новые риски</t>
  </si>
  <si>
    <t>Изменные риски</t>
  </si>
  <si>
    <t>замена недостаточно обученным
персоналом может привести к ОПАСНОСТИ (такой как повышение
температуры, возгорание или взрыв), новые опасности для аккумулятора IEC 60601</t>
  </si>
  <si>
    <t xml:space="preserve">новый риск связаный </t>
  </si>
  <si>
    <t>Бактериальная или вирусная инфекция / тяжелая инфекция / летальный исход</t>
  </si>
  <si>
    <t>Протокол квалификационных п.44 Ипсптыния тревога</t>
  </si>
  <si>
    <t>Usability Tests пю</t>
  </si>
  <si>
    <t>Запись в РЭ:
"Запр+R37+O35:O37+O34:O37+R37+O35:O37</t>
  </si>
  <si>
    <t>Информация по безопасности / обучение</t>
  </si>
  <si>
    <t>Испытания на ЭМС по IEC 60601-1-2:2014 (16), протокол № п. …. От</t>
  </si>
  <si>
    <t xml:space="preserve">не возможности изменить конструкцию </t>
  </si>
  <si>
    <t>нет возможности внести изменения в конструкци или защитные меры</t>
  </si>
  <si>
    <t>Отчет по тестированию эксплутационной рпигодности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</si>
</sst>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\-mmm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Times New Roman"/>
      <family val="1"/>
      <charset val="204"/>
    </font>
    <font>
      <sz val="11"/>
      <color rgb="FF000000"/>
      <name val="Calibri"/>
      <family val="2"/>
      <charset val="204"/>
    </font>
    <font>
      <sz val="12"/>
      <color theme="1"/>
      <name val="Times New Roman"/>
      <family val="1"/>
      <charset val="204"/>
    </font>
    <font>
      <sz val="12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0"/>
      <color theme="1"/>
      <name val="Arial"/>
      <family val="2"/>
      <charset val="204"/>
    </font>
    <font>
      <b/>
      <sz val="10"/>
      <color theme="1"/>
      <name val="Arial"/>
      <family val="2"/>
      <charset val="204"/>
    </font>
    <font>
      <sz val="10"/>
      <color theme="1"/>
      <name val="Times New Roman"/>
      <family val="1"/>
      <charset val="204"/>
    </font>
    <font>
      <b/>
      <sz val="11"/>
      <color theme="1"/>
      <name val="Calibri"/>
      <family val="2"/>
      <scheme val="minor"/>
    </font>
    <font>
      <u/>
      <sz val="11"/>
      <color theme="1"/>
      <name val="Calibri"/>
      <family val="2"/>
      <charset val="204"/>
      <scheme val="minor"/>
    </font>
    <font>
      <sz val="12"/>
      <name val="Calibri"/>
      <family val="2"/>
      <charset val="204"/>
      <scheme val="minor"/>
    </font>
    <font>
      <sz val="12"/>
      <color rgb="FFFF0000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sz val="12"/>
      <color rgb="FF000000"/>
      <name val="Calibri"/>
      <family val="2"/>
      <charset val="204"/>
      <scheme val="minor"/>
    </font>
    <font>
      <sz val="11"/>
      <color rgb="FF000000"/>
      <name val="Calibri"/>
      <family val="2"/>
      <charset val="204"/>
      <scheme val="minor"/>
    </font>
    <font>
      <sz val="12"/>
      <color rgb="FF111111"/>
      <name val="Calibri"/>
      <family val="2"/>
      <charset val="20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D9D9D9"/>
        <bgColor rgb="FFD7E4BD"/>
      </patternFill>
    </fill>
  </fills>
  <borders count="1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</borders>
  <cellStyleXfs count="2">
    <xf numFmtId="0" fontId="0" fillId="0" borderId="0"/>
    <xf numFmtId="0" fontId="5" fillId="0" borderId="0"/>
  </cellStyleXfs>
  <cellXfs count="109">
    <xf numFmtId="0" fontId="0" fillId="0" borderId="0" xfId="0"/>
    <xf numFmtId="0" fontId="7" fillId="0" borderId="10" xfId="0" applyFont="1" applyBorder="1" applyAlignment="1">
      <alignment horizontal="center" vertical="center" wrapText="1"/>
    </xf>
    <xf numFmtId="0" fontId="9" fillId="0" borderId="0" xfId="0" applyFont="1" applyAlignment="1">
      <alignment horizontal="justify" vertical="center"/>
    </xf>
    <xf numFmtId="0" fontId="9" fillId="0" borderId="0" xfId="0" applyFont="1" applyAlignment="1">
      <alignment horizontal="justify" vertical="center" wrapText="1"/>
    </xf>
    <xf numFmtId="0" fontId="10" fillId="0" borderId="0" xfId="0" applyFont="1" applyAlignment="1">
      <alignment horizontal="justify" vertical="center"/>
    </xf>
    <xf numFmtId="0" fontId="8" fillId="0" borderId="0" xfId="0" applyFont="1"/>
    <xf numFmtId="0" fontId="0" fillId="0" borderId="0" xfId="0" applyAlignment="1">
      <alignment wrapText="1"/>
    </xf>
    <xf numFmtId="0" fontId="6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14" fillId="0" borderId="10" xfId="1" applyFont="1" applyBorder="1" applyAlignment="1">
      <alignment horizontal="left" vertical="center" wrapText="1"/>
    </xf>
    <xf numFmtId="0" fontId="3" fillId="0" borderId="0" xfId="0" applyFont="1"/>
    <xf numFmtId="0" fontId="14" fillId="0" borderId="10" xfId="1" applyFont="1" applyBorder="1" applyAlignment="1">
      <alignment horizontal="center" vertical="center" wrapText="1"/>
    </xf>
    <xf numFmtId="0" fontId="14" fillId="0" borderId="10" xfId="1" applyFont="1" applyBorder="1" applyAlignment="1" applyProtection="1">
      <alignment horizontal="center" vertical="center" wrapText="1"/>
      <protection locked="0"/>
    </xf>
    <xf numFmtId="0" fontId="14" fillId="4" borderId="10" xfId="0" applyFont="1" applyFill="1" applyBorder="1" applyAlignment="1" applyProtection="1">
      <alignment horizontal="center" vertical="center" wrapText="1"/>
      <protection locked="0"/>
    </xf>
    <xf numFmtId="0" fontId="7" fillId="4" borderId="10" xfId="0" applyFont="1" applyFill="1" applyBorder="1" applyAlignment="1" applyProtection="1">
      <alignment horizontal="center" vertical="center" wrapText="1"/>
      <protection locked="0"/>
    </xf>
    <xf numFmtId="16" fontId="14" fillId="0" borderId="10" xfId="0" applyNumberFormat="1" applyFont="1" applyBorder="1" applyAlignment="1">
      <alignment horizontal="left" vertical="center" wrapText="1"/>
    </xf>
    <xf numFmtId="0" fontId="7" fillId="0" borderId="10" xfId="0" applyFont="1" applyBorder="1" applyAlignment="1" applyProtection="1">
      <alignment horizontal="center" vertical="center" wrapText="1"/>
      <protection locked="0"/>
    </xf>
    <xf numFmtId="16" fontId="7" fillId="0" borderId="10" xfId="0" applyNumberFormat="1" applyFont="1" applyBorder="1" applyAlignment="1" applyProtection="1">
      <alignment horizontal="center" vertical="center" wrapText="1"/>
      <protection locked="0"/>
    </xf>
    <xf numFmtId="1" fontId="14" fillId="0" borderId="10" xfId="0" applyNumberFormat="1" applyFont="1" applyBorder="1" applyAlignment="1" applyProtection="1">
      <alignment horizontal="center" vertical="center" wrapText="1"/>
      <protection locked="0"/>
    </xf>
    <xf numFmtId="1" fontId="14" fillId="4" borderId="10" xfId="0" applyNumberFormat="1" applyFont="1" applyFill="1" applyBorder="1" applyAlignment="1" applyProtection="1">
      <alignment horizontal="center" vertical="center" wrapText="1"/>
      <protection locked="0"/>
    </xf>
    <xf numFmtId="0" fontId="7" fillId="0" borderId="10" xfId="0" applyFont="1" applyBorder="1" applyAlignment="1">
      <alignment horizontal="left" vertical="center" wrapText="1"/>
    </xf>
    <xf numFmtId="0" fontId="14" fillId="0" borderId="10" xfId="0" applyFont="1" applyBorder="1" applyAlignment="1" applyProtection="1">
      <alignment horizontal="center" vertical="center" wrapText="1"/>
      <protection locked="0"/>
    </xf>
    <xf numFmtId="0" fontId="14" fillId="3" borderId="10" xfId="0" applyFont="1" applyFill="1" applyBorder="1" applyAlignment="1" applyProtection="1">
      <alignment horizontal="center" vertical="center" wrapText="1"/>
      <protection locked="0"/>
    </xf>
    <xf numFmtId="0" fontId="7" fillId="0" borderId="10" xfId="0" applyFont="1" applyBorder="1"/>
    <xf numFmtId="16" fontId="7" fillId="0" borderId="10" xfId="0" applyNumberFormat="1" applyFont="1" applyBorder="1" applyAlignment="1">
      <alignment horizontal="center" vertical="center" wrapText="1"/>
    </xf>
    <xf numFmtId="0" fontId="14" fillId="0" borderId="10" xfId="0" applyFont="1" applyBorder="1" applyAlignment="1">
      <alignment horizontal="center" vertical="center" wrapText="1"/>
    </xf>
    <xf numFmtId="0" fontId="14" fillId="0" borderId="10" xfId="0" applyFont="1" applyBorder="1" applyAlignment="1">
      <alignment horizontal="left" vertical="center" wrapText="1"/>
    </xf>
    <xf numFmtId="0" fontId="14" fillId="2" borderId="10" xfId="0" applyFont="1" applyFill="1" applyBorder="1" applyAlignment="1" applyProtection="1">
      <alignment horizontal="center" vertical="center" wrapText="1"/>
      <protection locked="0"/>
    </xf>
    <xf numFmtId="0" fontId="7" fillId="3" borderId="10" xfId="0" applyFont="1" applyFill="1" applyBorder="1" applyAlignment="1" applyProtection="1">
      <alignment horizontal="center" vertical="center" wrapText="1"/>
      <protection locked="0"/>
    </xf>
    <xf numFmtId="16" fontId="7" fillId="0" borderId="11" xfId="0" applyNumberFormat="1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1" xfId="0" applyFont="1" applyBorder="1" applyAlignment="1" applyProtection="1">
      <alignment horizontal="center" vertical="center" wrapText="1"/>
      <protection locked="0"/>
    </xf>
    <xf numFmtId="16" fontId="7" fillId="0" borderId="11" xfId="0" applyNumberFormat="1" applyFont="1" applyBorder="1" applyAlignment="1" applyProtection="1">
      <alignment horizontal="center" vertical="center" wrapText="1"/>
      <protection locked="0"/>
    </xf>
    <xf numFmtId="16" fontId="15" fillId="0" borderId="10" xfId="0" applyNumberFormat="1" applyFont="1" applyBorder="1" applyAlignment="1" applyProtection="1">
      <alignment horizontal="center" vertical="center" wrapText="1"/>
      <protection locked="0"/>
    </xf>
    <xf numFmtId="0" fontId="3" fillId="0" borderId="10" xfId="0" applyFont="1" applyBorder="1"/>
    <xf numFmtId="0" fontId="7" fillId="0" borderId="13" xfId="0" applyFont="1" applyBorder="1" applyAlignment="1">
      <alignment horizontal="center" vertical="center" wrapText="1"/>
    </xf>
    <xf numFmtId="0" fontId="15" fillId="0" borderId="10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7" fillId="0" borderId="10" xfId="0" applyFont="1" applyBorder="1" applyAlignment="1" applyProtection="1">
      <alignment horizontal="center" vertical="center"/>
      <protection locked="0"/>
    </xf>
    <xf numFmtId="0" fontId="7" fillId="0" borderId="10" xfId="0" applyFont="1" applyBorder="1" applyProtection="1">
      <protection locked="0"/>
    </xf>
    <xf numFmtId="16" fontId="7" fillId="0" borderId="13" xfId="0" applyNumberFormat="1" applyFont="1" applyBorder="1" applyAlignment="1">
      <alignment horizontal="center" vertical="center" wrapText="1"/>
    </xf>
    <xf numFmtId="16" fontId="7" fillId="0" borderId="13" xfId="0" applyNumberFormat="1" applyFont="1" applyBorder="1" applyAlignment="1" applyProtection="1">
      <alignment horizontal="center" vertical="center" wrapText="1"/>
      <protection locked="0"/>
    </xf>
    <xf numFmtId="0" fontId="7" fillId="0" borderId="13" xfId="0" applyFont="1" applyBorder="1" applyAlignment="1" applyProtection="1">
      <alignment horizontal="center" vertical="center" wrapText="1"/>
      <protection locked="0"/>
    </xf>
    <xf numFmtId="0" fontId="7" fillId="5" borderId="10" xfId="0" applyFont="1" applyFill="1" applyBorder="1" applyAlignment="1">
      <alignment horizontal="center" vertical="center" wrapText="1"/>
    </xf>
    <xf numFmtId="0" fontId="7" fillId="0" borderId="10" xfId="0" applyFont="1" applyBorder="1" applyAlignment="1">
      <alignment vertical="center" wrapText="1"/>
    </xf>
    <xf numFmtId="0" fontId="3" fillId="0" borderId="10" xfId="0" applyFont="1" applyBorder="1" applyAlignment="1" applyProtection="1">
      <alignment horizontal="center" vertical="center" wrapText="1"/>
      <protection locked="0"/>
    </xf>
    <xf numFmtId="0" fontId="3" fillId="4" borderId="10" xfId="0" applyFont="1" applyFill="1" applyBorder="1" applyAlignment="1" applyProtection="1">
      <alignment horizontal="center" vertical="center" wrapText="1"/>
      <protection locked="0"/>
    </xf>
    <xf numFmtId="0" fontId="16" fillId="3" borderId="10" xfId="0" applyFont="1" applyFill="1" applyBorder="1" applyAlignment="1" applyProtection="1">
      <alignment horizontal="center" vertical="center" wrapText="1"/>
      <protection locked="0"/>
    </xf>
    <xf numFmtId="0" fontId="16" fillId="0" borderId="0" xfId="0" applyFont="1" applyAlignment="1">
      <alignment horizontal="center" vertical="center" wrapText="1"/>
    </xf>
    <xf numFmtId="0" fontId="13" fillId="0" borderId="0" xfId="0" applyFont="1"/>
    <xf numFmtId="0" fontId="8" fillId="0" borderId="3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1" xfId="0" applyFont="1" applyBorder="1" applyAlignment="1">
      <alignment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2" xfId="0" applyFont="1" applyBorder="1" applyAlignment="1">
      <alignment vertical="center" wrapText="1"/>
    </xf>
    <xf numFmtId="0" fontId="8" fillId="0" borderId="6" xfId="0" applyFont="1" applyBorder="1" applyAlignment="1">
      <alignment horizontal="center" vertical="center" wrapText="1"/>
    </xf>
    <xf numFmtId="0" fontId="8" fillId="0" borderId="6" xfId="0" applyFont="1" applyBorder="1" applyAlignment="1">
      <alignment vertical="center" wrapText="1"/>
    </xf>
    <xf numFmtId="0" fontId="8" fillId="0" borderId="5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left" vertical="center" wrapText="1"/>
    </xf>
    <xf numFmtId="16" fontId="8" fillId="0" borderId="6" xfId="0" applyNumberFormat="1" applyFont="1" applyBorder="1" applyAlignment="1">
      <alignment horizontal="center" vertical="center" wrapText="1"/>
    </xf>
    <xf numFmtId="16" fontId="8" fillId="0" borderId="9" xfId="0" applyNumberFormat="1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16" fontId="4" fillId="0" borderId="0" xfId="0" applyNumberFormat="1" applyFont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164" fontId="14" fillId="0" borderId="10" xfId="0" applyNumberFormat="1" applyFont="1" applyBorder="1" applyAlignment="1">
      <alignment horizontal="center" vertical="center" wrapText="1"/>
    </xf>
    <xf numFmtId="164" fontId="14" fillId="0" borderId="10" xfId="0" applyNumberFormat="1" applyFont="1" applyBorder="1" applyAlignment="1" applyProtection="1">
      <alignment horizontal="center" vertical="center" wrapText="1"/>
      <protection locked="0"/>
    </xf>
    <xf numFmtId="0" fontId="17" fillId="0" borderId="10" xfId="0" applyFont="1" applyBorder="1" applyAlignment="1">
      <alignment horizontal="center" vertical="center" wrapText="1"/>
    </xf>
    <xf numFmtId="0" fontId="16" fillId="0" borderId="10" xfId="0" applyFont="1" applyBorder="1" applyAlignment="1">
      <alignment horizontal="center" vertical="center" wrapText="1"/>
    </xf>
    <xf numFmtId="0" fontId="16" fillId="0" borderId="10" xfId="0" applyFont="1" applyBorder="1" applyAlignment="1" applyProtection="1">
      <alignment horizontal="center" vertical="center" wrapText="1"/>
      <protection locked="0"/>
    </xf>
    <xf numFmtId="164" fontId="16" fillId="0" borderId="10" xfId="0" applyNumberFormat="1" applyFont="1" applyBorder="1" applyAlignment="1">
      <alignment horizontal="center" vertical="center" wrapText="1"/>
    </xf>
    <xf numFmtId="164" fontId="16" fillId="0" borderId="10" xfId="0" applyNumberFormat="1" applyFont="1" applyBorder="1" applyAlignment="1" applyProtection="1">
      <alignment horizontal="center" vertical="center" wrapText="1"/>
      <protection locked="0"/>
    </xf>
    <xf numFmtId="1" fontId="16" fillId="4" borderId="10" xfId="0" applyNumberFormat="1" applyFont="1" applyFill="1" applyBorder="1" applyAlignment="1" applyProtection="1">
      <alignment horizontal="center" vertical="center" wrapText="1"/>
      <protection locked="0"/>
    </xf>
    <xf numFmtId="0" fontId="18" fillId="0" borderId="10" xfId="0" applyFont="1" applyBorder="1" applyAlignment="1">
      <alignment horizontal="center" vertical="center" wrapText="1"/>
    </xf>
    <xf numFmtId="0" fontId="16" fillId="2" borderId="10" xfId="0" applyFont="1" applyFill="1" applyBorder="1" applyAlignment="1" applyProtection="1">
      <alignment horizontal="center" vertical="center" wrapText="1"/>
      <protection locked="0"/>
    </xf>
    <xf numFmtId="0" fontId="14" fillId="6" borderId="10" xfId="0" applyFont="1" applyFill="1" applyBorder="1" applyAlignment="1">
      <alignment horizontal="center" vertical="center" wrapText="1"/>
    </xf>
    <xf numFmtId="164" fontId="14" fillId="6" borderId="10" xfId="0" applyNumberFormat="1" applyFont="1" applyFill="1" applyBorder="1" applyAlignment="1">
      <alignment horizontal="center" vertical="center" wrapText="1"/>
    </xf>
    <xf numFmtId="0" fontId="19" fillId="0" borderId="10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7" fillId="0" borderId="10" xfId="0" applyFont="1" applyBorder="1" applyAlignment="1">
      <alignment wrapText="1"/>
    </xf>
    <xf numFmtId="0" fontId="0" fillId="0" borderId="10" xfId="0" applyBorder="1" applyAlignment="1">
      <alignment vertical="center" wrapText="1"/>
    </xf>
    <xf numFmtId="0" fontId="0" fillId="0" borderId="10" xfId="0" applyBorder="1"/>
    <xf numFmtId="0" fontId="3" fillId="0" borderId="0" xfId="0" applyFont="1" applyAlignment="1">
      <alignment wrapText="1"/>
    </xf>
    <xf numFmtId="0" fontId="16" fillId="5" borderId="10" xfId="0" applyFont="1" applyFill="1" applyBorder="1" applyAlignment="1">
      <alignment horizontal="center" vertical="center" wrapText="1"/>
    </xf>
    <xf numFmtId="0" fontId="7" fillId="5" borderId="10" xfId="0" applyFont="1" applyFill="1" applyBorder="1" applyAlignment="1" applyProtection="1">
      <alignment horizontal="center" vertical="center" wrapText="1"/>
      <protection locked="0"/>
    </xf>
    <xf numFmtId="0" fontId="7" fillId="5" borderId="10" xfId="0" applyFont="1" applyFill="1" applyBorder="1" applyAlignment="1">
      <alignment horizontal="left" vertical="center" wrapText="1"/>
    </xf>
    <xf numFmtId="0" fontId="19" fillId="0" borderId="10" xfId="0" applyFont="1" applyBorder="1" applyAlignment="1">
      <alignment horizontal="left" vertical="center" wrapText="1"/>
    </xf>
    <xf numFmtId="0" fontId="2" fillId="0" borderId="0" xfId="0" applyFont="1"/>
    <xf numFmtId="0" fontId="1" fillId="0" borderId="10" xfId="0" applyFont="1" applyBorder="1" applyAlignment="1" applyProtection="1">
      <alignment horizontal="center" vertical="center" wrapText="1"/>
      <protection locked="0"/>
    </xf>
    <xf numFmtId="0" fontId="1" fillId="0" borderId="0" xfId="0" applyFont="1" applyAlignment="1">
      <alignment wrapText="1"/>
    </xf>
    <xf numFmtId="0" fontId="1" fillId="0" borderId="0" xfId="0" applyFont="1"/>
    <xf numFmtId="0" fontId="8" fillId="0" borderId="7" xfId="0" applyFont="1" applyBorder="1"/>
    <xf numFmtId="0" fontId="8" fillId="0" borderId="8" xfId="0" applyFont="1" applyBorder="1"/>
    <xf numFmtId="0" fontId="3" fillId="0" borderId="2" xfId="0" applyFont="1" applyBorder="1"/>
    <xf numFmtId="0" fontId="3" fillId="0" borderId="14" xfId="0" applyFont="1" applyBorder="1"/>
    <xf numFmtId="0" fontId="3" fillId="0" borderId="15" xfId="0" applyFont="1" applyBorder="1"/>
    <xf numFmtId="0" fontId="3" fillId="0" borderId="16" xfId="0" applyFont="1" applyBorder="1"/>
    <xf numFmtId="0" fontId="3" fillId="0" borderId="17" xfId="0" applyFont="1" applyBorder="1"/>
    <xf numFmtId="0" fontId="3" fillId="0" borderId="9" xfId="0" applyFont="1" applyBorder="1"/>
    <xf numFmtId="0" fontId="8" fillId="0" borderId="0" xfId="0" applyFont="1" applyAlignment="1">
      <alignment horizontal="center"/>
    </xf>
    <xf numFmtId="0" fontId="8" fillId="0" borderId="7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textRotation="90" wrapText="1"/>
    </xf>
    <xf numFmtId="0" fontId="8" fillId="0" borderId="5" xfId="0" applyFont="1" applyBorder="1" applyAlignment="1">
      <alignment horizontal="center" vertical="center" textRotation="90" wrapText="1"/>
    </xf>
    <xf numFmtId="0" fontId="8" fillId="0" borderId="3" xfId="0" applyFont="1" applyBorder="1" applyAlignment="1">
      <alignment horizontal="center" vertical="center" textRotation="90" wrapText="1"/>
    </xf>
    <xf numFmtId="0" fontId="8" fillId="0" borderId="6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</cellXfs>
  <cellStyles count="2">
    <cellStyle name="Обычный" xfId="0" builtinId="0"/>
    <cellStyle name="Обычный 2" xfId="1" xr:uid="{00000000-0005-0000-0000-000001000000}"/>
  </cellStyles>
  <dxfs count="49"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59996337778862885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47"/>
  <sheetViews>
    <sheetView zoomScale="90" zoomScaleNormal="90" workbookViewId="0">
      <pane xSplit="4" ySplit="4" topLeftCell="P5" activePane="bottomRight" state="frozen"/>
      <selection pane="topRight" activeCell="B1" sqref="B1"/>
      <selection pane="bottomLeft" activeCell="A5" sqref="A5"/>
      <selection pane="bottomRight" activeCell="Y8" sqref="Y8"/>
    </sheetView>
  </sheetViews>
  <sheetFormatPr defaultRowHeight="14.4" x14ac:dyDescent="0.3"/>
  <cols>
    <col min="1" max="1" width="6.109375" customWidth="1"/>
    <col min="2" max="2" width="5.88671875" customWidth="1"/>
    <col min="3" max="3" width="7.33203125" customWidth="1"/>
    <col min="4" max="4" width="19.6640625" customWidth="1"/>
    <col min="5" max="5" width="28.109375" style="8" customWidth="1"/>
    <col min="6" max="6" width="32.44140625" customWidth="1"/>
    <col min="7" max="7" width="28.33203125" customWidth="1"/>
    <col min="8" max="8" width="23" customWidth="1"/>
    <col min="9" max="12" width="9.33203125" bestFit="1" customWidth="1"/>
    <col min="13" max="13" width="37" customWidth="1"/>
    <col min="14" max="14" width="30.33203125" customWidth="1"/>
    <col min="15" max="15" width="31.109375" customWidth="1"/>
    <col min="16" max="16" width="24.44140625" customWidth="1"/>
    <col min="17" max="17" width="20.109375" customWidth="1"/>
    <col min="18" max="18" width="15.33203125" customWidth="1"/>
    <col min="19" max="23" width="9.33203125" bestFit="1" customWidth="1"/>
    <col min="24" max="24" width="13.109375" customWidth="1"/>
    <col min="25" max="25" width="28.109375" customWidth="1"/>
    <col min="26" max="27" width="10.33203125" bestFit="1" customWidth="1"/>
  </cols>
  <sheetData>
    <row r="1" spans="1:27" ht="87" thickBot="1" x14ac:dyDescent="0.35">
      <c r="A1" s="10"/>
      <c r="B1" s="10"/>
      <c r="C1" s="10"/>
      <c r="D1" s="52" t="s">
        <v>54</v>
      </c>
      <c r="E1" s="53" t="s">
        <v>0</v>
      </c>
      <c r="F1" s="54" t="s">
        <v>1</v>
      </c>
      <c r="G1" s="54" t="s">
        <v>2</v>
      </c>
      <c r="H1" s="54" t="s">
        <v>3</v>
      </c>
      <c r="I1" s="54" t="s">
        <v>4</v>
      </c>
      <c r="J1" s="54" t="s">
        <v>5</v>
      </c>
      <c r="K1" s="54" t="s">
        <v>6</v>
      </c>
      <c r="L1" s="54" t="s">
        <v>7</v>
      </c>
      <c r="M1" s="101" t="s">
        <v>8</v>
      </c>
      <c r="N1" s="102"/>
      <c r="O1" s="102"/>
      <c r="P1" s="102"/>
      <c r="Q1" s="102"/>
      <c r="R1" s="102"/>
      <c r="S1" s="102"/>
      <c r="T1" s="102"/>
      <c r="U1" s="103"/>
      <c r="V1" s="104" t="s">
        <v>7</v>
      </c>
      <c r="W1" s="104" t="s">
        <v>114</v>
      </c>
      <c r="X1" s="104" t="s">
        <v>70</v>
      </c>
      <c r="Y1" s="95"/>
      <c r="Z1" s="96"/>
      <c r="AA1" s="97"/>
    </row>
    <row r="2" spans="1:27" ht="30" customHeight="1" thickBot="1" x14ac:dyDescent="0.35">
      <c r="A2" s="10"/>
      <c r="B2" s="10"/>
      <c r="C2" s="10"/>
      <c r="D2" s="50">
        <v>1</v>
      </c>
      <c r="E2" s="51">
        <v>2</v>
      </c>
      <c r="F2" s="51">
        <v>3</v>
      </c>
      <c r="G2" s="51">
        <v>4</v>
      </c>
      <c r="H2" s="51">
        <v>5</v>
      </c>
      <c r="I2" s="51">
        <v>6</v>
      </c>
      <c r="J2" s="51">
        <v>7</v>
      </c>
      <c r="K2" s="51">
        <v>8</v>
      </c>
      <c r="L2" s="51">
        <v>9</v>
      </c>
      <c r="M2" s="101" t="s">
        <v>9</v>
      </c>
      <c r="N2" s="102"/>
      <c r="O2" s="103"/>
      <c r="P2" s="101" t="s">
        <v>10</v>
      </c>
      <c r="Q2" s="102"/>
      <c r="R2" s="103"/>
      <c r="S2" s="107" t="s">
        <v>4</v>
      </c>
      <c r="T2" s="107" t="s">
        <v>5</v>
      </c>
      <c r="U2" s="107" t="s">
        <v>11</v>
      </c>
      <c r="V2" s="105"/>
      <c r="W2" s="105"/>
      <c r="X2" s="105"/>
      <c r="Y2" s="98"/>
      <c r="Z2" s="10"/>
      <c r="AA2" s="99"/>
    </row>
    <row r="3" spans="1:27" ht="43.8" thickBot="1" x14ac:dyDescent="0.35">
      <c r="A3" s="10"/>
      <c r="B3" s="10"/>
      <c r="C3" s="10"/>
      <c r="D3" s="55"/>
      <c r="E3" s="55"/>
      <c r="F3" s="55"/>
      <c r="G3" s="55"/>
      <c r="H3" s="55"/>
      <c r="I3" s="55"/>
      <c r="J3" s="55"/>
      <c r="K3" s="55"/>
      <c r="L3" s="56"/>
      <c r="M3" s="50" t="s">
        <v>12</v>
      </c>
      <c r="N3" s="51" t="s">
        <v>13</v>
      </c>
      <c r="O3" s="51" t="s">
        <v>407</v>
      </c>
      <c r="P3" s="51" t="s">
        <v>12</v>
      </c>
      <c r="Q3" s="51" t="s">
        <v>13</v>
      </c>
      <c r="R3" s="51" t="s">
        <v>14</v>
      </c>
      <c r="S3" s="108"/>
      <c r="T3" s="108"/>
      <c r="U3" s="108"/>
      <c r="V3" s="106"/>
      <c r="W3" s="106"/>
      <c r="X3" s="106"/>
      <c r="Y3" s="92" t="s">
        <v>399</v>
      </c>
      <c r="Z3" s="93" t="s">
        <v>400</v>
      </c>
      <c r="AA3" s="94"/>
    </row>
    <row r="4" spans="1:27" x14ac:dyDescent="0.3">
      <c r="A4" s="10" t="s">
        <v>34</v>
      </c>
      <c r="B4" s="10" t="s">
        <v>35</v>
      </c>
      <c r="C4" s="10" t="s">
        <v>55</v>
      </c>
      <c r="D4" s="57">
        <v>1</v>
      </c>
      <c r="E4" s="57">
        <v>2</v>
      </c>
      <c r="F4" s="57">
        <v>3</v>
      </c>
      <c r="G4" s="57">
        <v>4</v>
      </c>
      <c r="H4" s="57">
        <v>5</v>
      </c>
      <c r="I4" s="57">
        <v>6</v>
      </c>
      <c r="J4" s="57">
        <v>7</v>
      </c>
      <c r="K4" s="57">
        <v>8</v>
      </c>
      <c r="L4" s="58">
        <v>9</v>
      </c>
      <c r="M4" s="59" t="s">
        <v>15</v>
      </c>
      <c r="N4" s="60" t="s">
        <v>16</v>
      </c>
      <c r="O4" s="60" t="s">
        <v>17</v>
      </c>
      <c r="P4" s="60" t="s">
        <v>21</v>
      </c>
      <c r="Q4" s="60" t="s">
        <v>22</v>
      </c>
      <c r="R4" s="60" t="s">
        <v>23</v>
      </c>
      <c r="S4" s="61">
        <v>12</v>
      </c>
      <c r="T4" s="61">
        <v>13</v>
      </c>
      <c r="U4" s="61">
        <v>14</v>
      </c>
      <c r="V4" s="61">
        <v>15</v>
      </c>
      <c r="W4" s="61">
        <v>16</v>
      </c>
      <c r="X4" s="61">
        <v>17</v>
      </c>
      <c r="Y4" s="100">
        <v>18</v>
      </c>
      <c r="Z4" s="100">
        <v>19</v>
      </c>
      <c r="AA4" s="10"/>
    </row>
    <row r="5" spans="1:27" s="10" customFormat="1" ht="72" x14ac:dyDescent="0.3">
      <c r="D5" s="69" t="s">
        <v>24</v>
      </c>
      <c r="E5" s="69" t="s">
        <v>73</v>
      </c>
      <c r="F5" s="69" t="s">
        <v>74</v>
      </c>
      <c r="G5" s="69" t="s">
        <v>72</v>
      </c>
      <c r="H5" s="69" t="s">
        <v>85</v>
      </c>
      <c r="I5" s="70">
        <v>5</v>
      </c>
      <c r="J5" s="70">
        <v>3</v>
      </c>
      <c r="K5" s="47">
        <f>I5*J5</f>
        <v>15</v>
      </c>
      <c r="L5" s="46" t="str">
        <f t="shared" ref="L5:L39" si="0">IF(K5&gt;8, "Не доп.", "Доп.")</f>
        <v>Не доп.</v>
      </c>
      <c r="M5" s="69" t="s">
        <v>41</v>
      </c>
      <c r="N5" s="71"/>
      <c r="O5" s="69"/>
      <c r="P5" s="72" t="s">
        <v>397</v>
      </c>
      <c r="Q5" s="70"/>
      <c r="R5" s="72"/>
      <c r="S5" s="70">
        <v>5</v>
      </c>
      <c r="T5" s="70">
        <v>1</v>
      </c>
      <c r="U5" s="73">
        <f t="shared" ref="U5:U39" si="1">S5*T5</f>
        <v>5</v>
      </c>
      <c r="V5" s="46" t="str">
        <f t="shared" ref="V5:V39" si="2">IF(U5&gt;8, "Не доп.", "Доп.")</f>
        <v>Доп.</v>
      </c>
      <c r="W5" s="45"/>
      <c r="X5" s="45"/>
    </row>
    <row r="6" spans="1:27" s="10" customFormat="1" ht="72" x14ac:dyDescent="0.3">
      <c r="D6" s="69" t="s">
        <v>24</v>
      </c>
      <c r="E6" s="74" t="s">
        <v>75</v>
      </c>
      <c r="F6" s="69" t="s">
        <v>74</v>
      </c>
      <c r="G6" s="69" t="s">
        <v>72</v>
      </c>
      <c r="H6" s="69" t="s">
        <v>85</v>
      </c>
      <c r="I6" s="70">
        <v>5</v>
      </c>
      <c r="J6" s="70">
        <v>3</v>
      </c>
      <c r="K6" s="75">
        <f>I6*J6</f>
        <v>15</v>
      </c>
      <c r="L6" s="46" t="str">
        <f t="shared" si="0"/>
        <v>Не доп.</v>
      </c>
      <c r="M6" s="69" t="s">
        <v>41</v>
      </c>
      <c r="N6" s="71"/>
      <c r="O6" s="69"/>
      <c r="P6" s="72" t="s">
        <v>61</v>
      </c>
      <c r="Q6" s="70"/>
      <c r="R6" s="72"/>
      <c r="S6" s="70">
        <v>5</v>
      </c>
      <c r="T6" s="70">
        <v>1</v>
      </c>
      <c r="U6" s="73">
        <f t="shared" si="1"/>
        <v>5</v>
      </c>
      <c r="V6" s="46" t="str">
        <f t="shared" si="2"/>
        <v>Доп.</v>
      </c>
      <c r="W6" s="45"/>
      <c r="X6" s="45"/>
    </row>
    <row r="7" spans="1:27" s="10" customFormat="1" ht="72" x14ac:dyDescent="0.3">
      <c r="D7" s="69" t="s">
        <v>24</v>
      </c>
      <c r="E7" s="69" t="s">
        <v>76</v>
      </c>
      <c r="F7" s="69" t="s">
        <v>74</v>
      </c>
      <c r="G7" s="69" t="s">
        <v>72</v>
      </c>
      <c r="H7" s="69" t="s">
        <v>85</v>
      </c>
      <c r="I7" s="70">
        <v>5</v>
      </c>
      <c r="J7" s="70">
        <v>3</v>
      </c>
      <c r="K7" s="75">
        <f t="shared" ref="K7:K8" si="3">I7*J7</f>
        <v>15</v>
      </c>
      <c r="L7" s="46" t="str">
        <f t="shared" si="0"/>
        <v>Не доп.</v>
      </c>
      <c r="M7" s="69" t="s">
        <v>41</v>
      </c>
      <c r="N7" s="71"/>
      <c r="O7" s="69"/>
      <c r="P7" s="72" t="s">
        <v>61</v>
      </c>
      <c r="Q7" s="70"/>
      <c r="R7" s="72"/>
      <c r="S7" s="70">
        <v>5</v>
      </c>
      <c r="T7" s="70">
        <v>1</v>
      </c>
      <c r="U7" s="73">
        <f t="shared" si="1"/>
        <v>5</v>
      </c>
      <c r="V7" s="46" t="str">
        <f t="shared" si="2"/>
        <v>Доп.</v>
      </c>
      <c r="W7" s="45"/>
      <c r="X7" s="45"/>
    </row>
    <row r="8" spans="1:27" s="10" customFormat="1" ht="115.2" x14ac:dyDescent="0.3">
      <c r="D8" s="69" t="s">
        <v>24</v>
      </c>
      <c r="E8" s="69" t="s">
        <v>77</v>
      </c>
      <c r="F8" s="69" t="s">
        <v>78</v>
      </c>
      <c r="G8" s="69" t="s">
        <v>72</v>
      </c>
      <c r="H8" s="69" t="s">
        <v>84</v>
      </c>
      <c r="I8" s="70">
        <v>5</v>
      </c>
      <c r="J8" s="70">
        <v>3</v>
      </c>
      <c r="K8" s="75">
        <f t="shared" si="3"/>
        <v>15</v>
      </c>
      <c r="L8" s="46" t="str">
        <f t="shared" si="0"/>
        <v>Не доп.</v>
      </c>
      <c r="M8" s="69" t="s">
        <v>79</v>
      </c>
      <c r="N8" s="71"/>
      <c r="O8" s="69"/>
      <c r="P8" s="72" t="s">
        <v>408</v>
      </c>
      <c r="Q8" s="70"/>
      <c r="R8" s="72"/>
      <c r="S8" s="70">
        <v>5</v>
      </c>
      <c r="T8" s="70">
        <v>1</v>
      </c>
      <c r="U8" s="73">
        <f t="shared" si="1"/>
        <v>5</v>
      </c>
      <c r="V8" s="46" t="str">
        <f t="shared" si="2"/>
        <v>Доп.</v>
      </c>
      <c r="W8" s="45"/>
      <c r="X8" s="89" t="s">
        <v>398</v>
      </c>
      <c r="Y8" s="90" t="s">
        <v>401</v>
      </c>
      <c r="Z8" s="91" t="s">
        <v>402</v>
      </c>
    </row>
    <row r="9" spans="1:27" s="10" customFormat="1" ht="78" x14ac:dyDescent="0.3">
      <c r="D9" s="69" t="s">
        <v>24</v>
      </c>
      <c r="E9" s="25" t="s">
        <v>82</v>
      </c>
      <c r="F9" s="68" t="s">
        <v>80</v>
      </c>
      <c r="G9" s="25" t="s">
        <v>81</v>
      </c>
      <c r="H9" s="25" t="s">
        <v>83</v>
      </c>
      <c r="I9" s="21">
        <v>5</v>
      </c>
      <c r="J9" s="21">
        <v>3</v>
      </c>
      <c r="K9" s="27">
        <f>I9*J9</f>
        <v>15</v>
      </c>
      <c r="L9" s="14" t="str">
        <f t="shared" si="0"/>
        <v>Не доп.</v>
      </c>
      <c r="M9" s="25" t="s">
        <v>86</v>
      </c>
      <c r="N9" s="66"/>
      <c r="O9" s="25"/>
      <c r="P9" s="67" t="s">
        <v>113</v>
      </c>
      <c r="Q9" s="21"/>
      <c r="R9" s="67"/>
      <c r="S9" s="21">
        <v>5</v>
      </c>
      <c r="T9" s="21">
        <v>1</v>
      </c>
      <c r="U9" s="19">
        <f t="shared" ref="U9" si="4">S9*T9</f>
        <v>5</v>
      </c>
      <c r="V9" s="14" t="str">
        <f t="shared" si="2"/>
        <v>Доп.</v>
      </c>
      <c r="W9" s="16"/>
      <c r="X9" s="16"/>
    </row>
    <row r="10" spans="1:27" s="10" customFormat="1" ht="72" x14ac:dyDescent="0.3">
      <c r="D10" s="69" t="s">
        <v>24</v>
      </c>
      <c r="E10" s="69" t="s">
        <v>71</v>
      </c>
      <c r="F10" s="69" t="s">
        <v>25</v>
      </c>
      <c r="G10" s="69" t="s">
        <v>72</v>
      </c>
      <c r="H10" s="69" t="s">
        <v>84</v>
      </c>
      <c r="I10" s="70">
        <v>5</v>
      </c>
      <c r="J10" s="70">
        <v>3</v>
      </c>
      <c r="K10" s="22">
        <f>I10*J10</f>
        <v>15</v>
      </c>
      <c r="L10" s="14" t="str">
        <f t="shared" si="0"/>
        <v>Не доп.</v>
      </c>
      <c r="M10" s="25" t="s">
        <v>56</v>
      </c>
      <c r="N10" s="15"/>
      <c r="O10" s="1"/>
      <c r="P10" s="67" t="s">
        <v>61</v>
      </c>
      <c r="Q10" s="16"/>
      <c r="R10" s="17"/>
      <c r="S10" s="18">
        <v>5</v>
      </c>
      <c r="T10" s="18">
        <v>1</v>
      </c>
      <c r="U10" s="19">
        <f t="shared" si="1"/>
        <v>5</v>
      </c>
      <c r="V10" s="14" t="str">
        <f t="shared" si="2"/>
        <v>Доп.</v>
      </c>
      <c r="W10" s="16"/>
      <c r="X10" s="16"/>
    </row>
    <row r="11" spans="1:27" s="10" customFormat="1" ht="100.8" x14ac:dyDescent="0.3">
      <c r="D11" s="69" t="s">
        <v>24</v>
      </c>
      <c r="E11" s="74" t="s">
        <v>87</v>
      </c>
      <c r="F11" s="69" t="s">
        <v>88</v>
      </c>
      <c r="G11" s="69" t="s">
        <v>89</v>
      </c>
      <c r="H11" s="69" t="s">
        <v>58</v>
      </c>
      <c r="I11" s="70">
        <v>5</v>
      </c>
      <c r="J11" s="70">
        <v>4</v>
      </c>
      <c r="K11" s="22">
        <f>I11*J11</f>
        <v>20</v>
      </c>
      <c r="L11" s="14" t="str">
        <f t="shared" si="0"/>
        <v>Не доп.</v>
      </c>
      <c r="M11" s="69" t="s">
        <v>109</v>
      </c>
      <c r="N11" s="71"/>
      <c r="O11" s="71"/>
      <c r="P11" s="72" t="s">
        <v>110</v>
      </c>
      <c r="Q11" s="70"/>
      <c r="R11" s="72"/>
      <c r="S11" s="70">
        <v>5</v>
      </c>
      <c r="T11" s="70">
        <v>1</v>
      </c>
      <c r="U11" s="19">
        <f>S11*T11</f>
        <v>5</v>
      </c>
      <c r="V11" s="14" t="str">
        <f t="shared" si="2"/>
        <v>Доп.</v>
      </c>
      <c r="W11" s="16"/>
      <c r="X11" s="16"/>
    </row>
    <row r="12" spans="1:27" s="10" customFormat="1" ht="144" x14ac:dyDescent="0.3">
      <c r="D12" s="69" t="s">
        <v>24</v>
      </c>
      <c r="E12" s="74" t="s">
        <v>90</v>
      </c>
      <c r="F12" s="69" t="s">
        <v>91</v>
      </c>
      <c r="G12" s="69" t="s">
        <v>92</v>
      </c>
      <c r="H12" s="69" t="s">
        <v>93</v>
      </c>
      <c r="I12" s="70">
        <v>3</v>
      </c>
      <c r="J12" s="70">
        <v>4</v>
      </c>
      <c r="K12" s="16">
        <f>J12*I12</f>
        <v>12</v>
      </c>
      <c r="L12" s="14" t="str">
        <f t="shared" si="0"/>
        <v>Не доп.</v>
      </c>
      <c r="M12" s="71" t="s">
        <v>41</v>
      </c>
      <c r="N12" s="71"/>
      <c r="O12" s="71" t="s">
        <v>254</v>
      </c>
      <c r="P12" s="72" t="s">
        <v>111</v>
      </c>
      <c r="Q12" s="72"/>
      <c r="R12" s="72" t="s">
        <v>252</v>
      </c>
      <c r="S12" s="70">
        <v>3</v>
      </c>
      <c r="T12" s="70">
        <v>1</v>
      </c>
      <c r="U12" s="19">
        <f t="shared" si="1"/>
        <v>3</v>
      </c>
      <c r="V12" s="14" t="str">
        <f t="shared" si="2"/>
        <v>Доп.</v>
      </c>
      <c r="W12" s="16"/>
      <c r="X12" s="16"/>
    </row>
    <row r="13" spans="1:27" s="10" customFormat="1" ht="115.2" x14ac:dyDescent="0.3">
      <c r="D13" s="69" t="s">
        <v>24</v>
      </c>
      <c r="E13" s="74" t="s">
        <v>165</v>
      </c>
      <c r="F13" s="69" t="s">
        <v>167</v>
      </c>
      <c r="G13" s="69" t="s">
        <v>166</v>
      </c>
      <c r="H13" s="69" t="s">
        <v>251</v>
      </c>
      <c r="I13" s="70">
        <v>5</v>
      </c>
      <c r="J13" s="70">
        <v>3</v>
      </c>
      <c r="K13" s="16">
        <f>J13*I13</f>
        <v>15</v>
      </c>
      <c r="L13" s="14" t="str">
        <f t="shared" ref="L13" si="5">IF(K13&gt;8, "Не доп.", "Доп.")</f>
        <v>Не доп.</v>
      </c>
      <c r="M13" s="71"/>
      <c r="N13" s="71" t="s">
        <v>253</v>
      </c>
      <c r="O13" s="71" t="s">
        <v>250</v>
      </c>
      <c r="P13" s="72"/>
      <c r="Q13" s="72" t="s">
        <v>255</v>
      </c>
      <c r="R13" s="72" t="s">
        <v>252</v>
      </c>
      <c r="S13" s="70">
        <v>5</v>
      </c>
      <c r="T13" s="70">
        <v>1</v>
      </c>
      <c r="U13" s="19">
        <f t="shared" ref="U13" si="6">S13*T13</f>
        <v>5</v>
      </c>
      <c r="V13" s="14" t="str">
        <f t="shared" ref="V13" si="7">IF(U13&gt;8, "Не доп.", "Доп.")</f>
        <v>Доп.</v>
      </c>
      <c r="W13" s="16"/>
      <c r="X13" s="16"/>
    </row>
    <row r="14" spans="1:27" s="10" customFormat="1" ht="57.6" x14ac:dyDescent="0.3">
      <c r="D14" s="69" t="s">
        <v>24</v>
      </c>
      <c r="E14" s="74" t="s">
        <v>94</v>
      </c>
      <c r="F14" s="69" t="s">
        <v>95</v>
      </c>
      <c r="G14" s="69" t="s">
        <v>96</v>
      </c>
      <c r="H14" s="69" t="s">
        <v>57</v>
      </c>
      <c r="I14" s="70">
        <v>5</v>
      </c>
      <c r="J14" s="70">
        <v>3</v>
      </c>
      <c r="K14" s="16">
        <f t="shared" ref="K14:K39" si="8">J14*I14</f>
        <v>15</v>
      </c>
      <c r="L14" s="14" t="str">
        <f t="shared" si="0"/>
        <v>Не доп.</v>
      </c>
      <c r="M14" s="71" t="s">
        <v>42</v>
      </c>
      <c r="N14" s="71"/>
      <c r="O14" s="69"/>
      <c r="P14" s="72" t="s">
        <v>112</v>
      </c>
      <c r="Q14" s="70"/>
      <c r="R14" s="72"/>
      <c r="S14" s="70">
        <v>5</v>
      </c>
      <c r="T14" s="70">
        <v>1</v>
      </c>
      <c r="U14" s="19">
        <f t="shared" si="1"/>
        <v>5</v>
      </c>
      <c r="V14" s="14" t="str">
        <f t="shared" si="2"/>
        <v>Доп.</v>
      </c>
      <c r="W14" s="16"/>
      <c r="X14" s="16"/>
    </row>
    <row r="15" spans="1:27" s="10" customFormat="1" ht="100.8" x14ac:dyDescent="0.3">
      <c r="D15" s="69" t="s">
        <v>24</v>
      </c>
      <c r="E15" s="69" t="s">
        <v>97</v>
      </c>
      <c r="F15" s="69" t="s">
        <v>98</v>
      </c>
      <c r="G15" s="69" t="s">
        <v>99</v>
      </c>
      <c r="H15" s="69" t="s">
        <v>58</v>
      </c>
      <c r="I15" s="70">
        <v>5</v>
      </c>
      <c r="J15" s="70">
        <v>5</v>
      </c>
      <c r="K15" s="16">
        <f t="shared" si="8"/>
        <v>25</v>
      </c>
      <c r="L15" s="14" t="str">
        <f t="shared" si="0"/>
        <v>Не доп.</v>
      </c>
      <c r="M15" s="71" t="s">
        <v>43</v>
      </c>
      <c r="N15" s="71"/>
      <c r="O15" s="69"/>
      <c r="P15" s="72" t="s">
        <v>61</v>
      </c>
      <c r="Q15" s="70"/>
      <c r="R15" s="72"/>
      <c r="S15" s="70">
        <v>5</v>
      </c>
      <c r="T15" s="70">
        <v>1</v>
      </c>
      <c r="U15" s="19">
        <f t="shared" si="1"/>
        <v>5</v>
      </c>
      <c r="V15" s="14" t="str">
        <f t="shared" si="2"/>
        <v>Доп.</v>
      </c>
      <c r="W15" s="16"/>
      <c r="X15" s="16"/>
    </row>
    <row r="16" spans="1:27" s="10" customFormat="1" ht="100.8" x14ac:dyDescent="0.3">
      <c r="D16" s="69" t="s">
        <v>24</v>
      </c>
      <c r="E16" s="69" t="s">
        <v>100</v>
      </c>
      <c r="F16" s="69" t="s">
        <v>98</v>
      </c>
      <c r="G16" s="69" t="s">
        <v>101</v>
      </c>
      <c r="H16" s="69" t="s">
        <v>58</v>
      </c>
      <c r="I16" s="70">
        <v>5</v>
      </c>
      <c r="J16" s="70">
        <v>5</v>
      </c>
      <c r="K16" s="16">
        <f t="shared" si="8"/>
        <v>25</v>
      </c>
      <c r="L16" s="14" t="str">
        <f t="shared" si="0"/>
        <v>Не доп.</v>
      </c>
      <c r="M16" s="69" t="s">
        <v>44</v>
      </c>
      <c r="N16" s="71"/>
      <c r="O16" s="69"/>
      <c r="P16" s="72" t="s">
        <v>61</v>
      </c>
      <c r="Q16" s="70"/>
      <c r="R16" s="72"/>
      <c r="S16" s="70">
        <v>5</v>
      </c>
      <c r="T16" s="70">
        <v>1</v>
      </c>
      <c r="U16" s="19">
        <f t="shared" si="1"/>
        <v>5</v>
      </c>
      <c r="V16" s="14" t="str">
        <f t="shared" si="2"/>
        <v>Доп.</v>
      </c>
      <c r="W16" s="16"/>
      <c r="X16" s="16"/>
    </row>
    <row r="17" spans="1:27" s="10" customFormat="1" ht="110.25" customHeight="1" x14ac:dyDescent="0.3">
      <c r="D17" s="69" t="s">
        <v>24</v>
      </c>
      <c r="E17" s="69" t="s">
        <v>102</v>
      </c>
      <c r="F17" s="69" t="s">
        <v>98</v>
      </c>
      <c r="G17" s="69" t="s">
        <v>99</v>
      </c>
      <c r="H17" s="69" t="s">
        <v>58</v>
      </c>
      <c r="I17" s="70">
        <v>5</v>
      </c>
      <c r="J17" s="70">
        <v>5</v>
      </c>
      <c r="K17" s="28">
        <f t="shared" si="8"/>
        <v>25</v>
      </c>
      <c r="L17" s="14" t="str">
        <f t="shared" si="0"/>
        <v>Не доп.</v>
      </c>
      <c r="M17" s="69" t="s">
        <v>45</v>
      </c>
      <c r="N17" s="71"/>
      <c r="O17" s="69"/>
      <c r="P17" s="72" t="s">
        <v>61</v>
      </c>
      <c r="Q17" s="70"/>
      <c r="R17" s="72"/>
      <c r="S17" s="70">
        <v>5</v>
      </c>
      <c r="T17" s="70">
        <v>1</v>
      </c>
      <c r="U17" s="19">
        <f t="shared" si="1"/>
        <v>5</v>
      </c>
      <c r="V17" s="14" t="str">
        <f t="shared" si="2"/>
        <v>Доп.</v>
      </c>
      <c r="W17" s="16"/>
      <c r="X17" s="16"/>
    </row>
    <row r="18" spans="1:27" s="10" customFormat="1" ht="72" x14ac:dyDescent="0.3">
      <c r="D18" s="69" t="s">
        <v>24</v>
      </c>
      <c r="E18" s="69" t="s">
        <v>103</v>
      </c>
      <c r="F18" s="69" t="s">
        <v>104</v>
      </c>
      <c r="G18" s="69" t="s">
        <v>72</v>
      </c>
      <c r="H18" s="69" t="s">
        <v>57</v>
      </c>
      <c r="I18" s="70">
        <v>5</v>
      </c>
      <c r="J18" s="70">
        <v>3</v>
      </c>
      <c r="K18" s="16">
        <f t="shared" si="8"/>
        <v>15</v>
      </c>
      <c r="L18" s="14" t="str">
        <f t="shared" si="0"/>
        <v>Не доп.</v>
      </c>
      <c r="M18" s="69" t="s">
        <v>46</v>
      </c>
      <c r="N18" s="71"/>
      <c r="O18" s="69"/>
      <c r="P18" s="72" t="s">
        <v>61</v>
      </c>
      <c r="Q18" s="70"/>
      <c r="R18" s="72"/>
      <c r="S18" s="70">
        <v>5</v>
      </c>
      <c r="T18" s="70">
        <v>1</v>
      </c>
      <c r="U18" s="19">
        <f t="shared" si="1"/>
        <v>5</v>
      </c>
      <c r="V18" s="14" t="str">
        <f t="shared" si="2"/>
        <v>Доп.</v>
      </c>
      <c r="W18" s="16"/>
      <c r="X18" s="16"/>
    </row>
    <row r="19" spans="1:27" s="10" customFormat="1" ht="86.4" x14ac:dyDescent="0.3">
      <c r="D19" s="69" t="s">
        <v>24</v>
      </c>
      <c r="E19" s="74" t="s">
        <v>26</v>
      </c>
      <c r="F19" s="69" t="s">
        <v>105</v>
      </c>
      <c r="G19" s="69" t="s">
        <v>106</v>
      </c>
      <c r="H19" s="69" t="s">
        <v>59</v>
      </c>
      <c r="I19" s="70">
        <v>5</v>
      </c>
      <c r="J19" s="70">
        <v>4</v>
      </c>
      <c r="K19" s="16">
        <f t="shared" si="8"/>
        <v>20</v>
      </c>
      <c r="L19" s="14" t="str">
        <f t="shared" si="0"/>
        <v>Не доп.</v>
      </c>
      <c r="M19" s="69" t="s">
        <v>41</v>
      </c>
      <c r="N19" s="71"/>
      <c r="O19" s="69"/>
      <c r="P19" s="72" t="s">
        <v>61</v>
      </c>
      <c r="Q19" s="70"/>
      <c r="R19" s="72"/>
      <c r="S19" s="70">
        <v>5</v>
      </c>
      <c r="T19" s="70">
        <v>1</v>
      </c>
      <c r="U19" s="19">
        <f t="shared" si="1"/>
        <v>5</v>
      </c>
      <c r="V19" s="14" t="str">
        <f t="shared" si="2"/>
        <v>Доп.</v>
      </c>
      <c r="W19" s="16"/>
      <c r="X19" s="16"/>
    </row>
    <row r="20" spans="1:27" s="10" customFormat="1" ht="72" x14ac:dyDescent="0.3">
      <c r="D20" s="69" t="s">
        <v>24</v>
      </c>
      <c r="E20" s="69" t="s">
        <v>27</v>
      </c>
      <c r="F20" s="69" t="s">
        <v>107</v>
      </c>
      <c r="G20" s="69" t="s">
        <v>72</v>
      </c>
      <c r="H20" s="69" t="s">
        <v>57</v>
      </c>
      <c r="I20" s="70">
        <v>5</v>
      </c>
      <c r="J20" s="70">
        <v>2</v>
      </c>
      <c r="K20" s="16">
        <f t="shared" si="8"/>
        <v>10</v>
      </c>
      <c r="L20" s="14" t="str">
        <f t="shared" si="0"/>
        <v>Не доп.</v>
      </c>
      <c r="M20" s="69" t="s">
        <v>47</v>
      </c>
      <c r="N20" s="71"/>
      <c r="O20" s="69"/>
      <c r="P20" s="72" t="s">
        <v>62</v>
      </c>
      <c r="Q20" s="70"/>
      <c r="R20" s="72"/>
      <c r="S20" s="70">
        <v>5</v>
      </c>
      <c r="T20" s="70">
        <v>1</v>
      </c>
      <c r="U20" s="19">
        <f t="shared" si="1"/>
        <v>5</v>
      </c>
      <c r="V20" s="14" t="str">
        <f t="shared" si="2"/>
        <v>Доп.</v>
      </c>
      <c r="W20" s="16"/>
      <c r="X20" s="16"/>
    </row>
    <row r="21" spans="1:27" s="10" customFormat="1" ht="86.4" x14ac:dyDescent="0.3">
      <c r="D21" s="69" t="s">
        <v>24</v>
      </c>
      <c r="E21" s="69" t="s">
        <v>28</v>
      </c>
      <c r="F21" s="69" t="s">
        <v>29</v>
      </c>
      <c r="G21" s="69" t="s">
        <v>108</v>
      </c>
      <c r="H21" s="69" t="s">
        <v>60</v>
      </c>
      <c r="I21" s="70">
        <v>5</v>
      </c>
      <c r="J21" s="70">
        <v>2</v>
      </c>
      <c r="K21" s="16">
        <f t="shared" si="8"/>
        <v>10</v>
      </c>
      <c r="L21" s="14" t="str">
        <f t="shared" si="0"/>
        <v>Не доп.</v>
      </c>
      <c r="M21" s="69" t="s">
        <v>48</v>
      </c>
      <c r="N21" s="71"/>
      <c r="O21" s="69"/>
      <c r="P21" s="72" t="s">
        <v>63</v>
      </c>
      <c r="Q21" s="70"/>
      <c r="R21" s="72"/>
      <c r="S21" s="70">
        <v>5</v>
      </c>
      <c r="T21" s="70">
        <v>1</v>
      </c>
      <c r="U21" s="19">
        <f t="shared" si="1"/>
        <v>5</v>
      </c>
      <c r="V21" s="14" t="str">
        <f t="shared" si="2"/>
        <v>Доп.</v>
      </c>
      <c r="W21" s="16"/>
      <c r="X21" s="16"/>
    </row>
    <row r="22" spans="1:27" s="10" customFormat="1" ht="93.75" customHeight="1" x14ac:dyDescent="0.3">
      <c r="D22" s="69" t="s">
        <v>24</v>
      </c>
      <c r="E22" s="69" t="s">
        <v>30</v>
      </c>
      <c r="F22" s="69" t="s">
        <v>31</v>
      </c>
      <c r="G22" s="69" t="s">
        <v>108</v>
      </c>
      <c r="H22" s="69" t="s">
        <v>60</v>
      </c>
      <c r="I22" s="70">
        <v>5</v>
      </c>
      <c r="J22" s="70">
        <v>2</v>
      </c>
      <c r="K22" s="16">
        <f t="shared" si="8"/>
        <v>10</v>
      </c>
      <c r="L22" s="14" t="str">
        <f t="shared" si="0"/>
        <v>Не доп.</v>
      </c>
      <c r="M22" s="69" t="s">
        <v>49</v>
      </c>
      <c r="N22" s="71"/>
      <c r="O22" s="69"/>
      <c r="P22" s="72" t="s">
        <v>64</v>
      </c>
      <c r="Q22" s="70"/>
      <c r="R22" s="72"/>
      <c r="S22" s="70">
        <v>5</v>
      </c>
      <c r="T22" s="70">
        <v>1</v>
      </c>
      <c r="U22" s="19">
        <f t="shared" si="1"/>
        <v>5</v>
      </c>
      <c r="V22" s="14" t="str">
        <f t="shared" si="2"/>
        <v>Доп.</v>
      </c>
      <c r="W22" s="16"/>
      <c r="X22" s="1"/>
    </row>
    <row r="23" spans="1:27" s="10" customFormat="1" ht="86.4" x14ac:dyDescent="0.3">
      <c r="D23" s="69" t="s">
        <v>24</v>
      </c>
      <c r="E23" s="69" t="s">
        <v>32</v>
      </c>
      <c r="F23" s="69" t="s">
        <v>33</v>
      </c>
      <c r="G23" s="69" t="s">
        <v>108</v>
      </c>
      <c r="H23" s="69" t="s">
        <v>60</v>
      </c>
      <c r="I23" s="70">
        <v>5</v>
      </c>
      <c r="J23" s="70">
        <v>2</v>
      </c>
      <c r="K23" s="16">
        <f t="shared" si="8"/>
        <v>10</v>
      </c>
      <c r="L23" s="14" t="str">
        <f t="shared" si="0"/>
        <v>Не доп.</v>
      </c>
      <c r="M23" s="69" t="s">
        <v>50</v>
      </c>
      <c r="N23" s="71"/>
      <c r="O23" s="69"/>
      <c r="P23" s="72" t="s">
        <v>65</v>
      </c>
      <c r="Q23" s="70"/>
      <c r="R23" s="72"/>
      <c r="S23" s="70">
        <v>5</v>
      </c>
      <c r="T23" s="70">
        <v>1</v>
      </c>
      <c r="U23" s="19">
        <f t="shared" si="1"/>
        <v>5</v>
      </c>
      <c r="V23" s="14" t="str">
        <f t="shared" si="2"/>
        <v>Доп.</v>
      </c>
      <c r="W23" s="16"/>
      <c r="X23" s="16"/>
    </row>
    <row r="24" spans="1:27" ht="156" x14ac:dyDescent="0.3">
      <c r="A24" s="10"/>
      <c r="B24" s="10"/>
      <c r="C24" s="10"/>
      <c r="D24" s="69" t="s">
        <v>24</v>
      </c>
      <c r="E24" s="1" t="s">
        <v>115</v>
      </c>
      <c r="F24" s="1" t="s">
        <v>116</v>
      </c>
      <c r="G24" s="1" t="s">
        <v>117</v>
      </c>
      <c r="H24" s="20" t="s">
        <v>118</v>
      </c>
      <c r="I24" s="16">
        <v>5</v>
      </c>
      <c r="J24" s="1">
        <v>3</v>
      </c>
      <c r="K24" s="16">
        <f t="shared" si="8"/>
        <v>15</v>
      </c>
      <c r="L24" s="14" t="str">
        <f t="shared" si="0"/>
        <v>Не доп.</v>
      </c>
      <c r="M24" s="24" t="s">
        <v>119</v>
      </c>
      <c r="N24" s="24" t="s">
        <v>126</v>
      </c>
      <c r="O24" s="1" t="s">
        <v>121</v>
      </c>
      <c r="P24" s="34"/>
      <c r="Q24" s="36"/>
      <c r="R24" s="33"/>
      <c r="S24" s="25">
        <v>4</v>
      </c>
      <c r="T24" s="25">
        <v>1</v>
      </c>
      <c r="U24" s="19">
        <f t="shared" si="1"/>
        <v>4</v>
      </c>
      <c r="V24" s="14" t="str">
        <f t="shared" si="2"/>
        <v>Доп.</v>
      </c>
      <c r="W24" s="16"/>
      <c r="X24" s="1" t="s">
        <v>120</v>
      </c>
      <c r="Y24" s="10"/>
      <c r="Z24" s="10"/>
      <c r="AA24" s="10"/>
    </row>
    <row r="25" spans="1:27" ht="109.2" x14ac:dyDescent="0.3">
      <c r="A25" s="10"/>
      <c r="B25" s="10"/>
      <c r="C25" s="10"/>
      <c r="D25" s="69" t="s">
        <v>24</v>
      </c>
      <c r="E25" s="1" t="s">
        <v>115</v>
      </c>
      <c r="F25" s="1" t="s">
        <v>169</v>
      </c>
      <c r="G25" s="1" t="s">
        <v>170</v>
      </c>
      <c r="H25" s="1" t="s">
        <v>168</v>
      </c>
      <c r="I25" s="16">
        <v>4</v>
      </c>
      <c r="J25" s="1">
        <v>3</v>
      </c>
      <c r="K25" s="16">
        <f t="shared" ref="K25" si="9">J25*I25</f>
        <v>12</v>
      </c>
      <c r="L25" s="14" t="str">
        <f t="shared" ref="L25" si="10">IF(K25&gt;8, "Не доп.", "Доп.")</f>
        <v>Не доп.</v>
      </c>
      <c r="M25" s="24"/>
      <c r="N25" s="24"/>
      <c r="O25" s="1" t="s">
        <v>171</v>
      </c>
      <c r="P25" s="34"/>
      <c r="Q25" s="36"/>
      <c r="R25" s="33"/>
      <c r="S25" s="25">
        <v>4</v>
      </c>
      <c r="T25" s="25">
        <v>1</v>
      </c>
      <c r="U25" s="19">
        <f t="shared" si="1"/>
        <v>4</v>
      </c>
      <c r="V25" s="14" t="str">
        <f t="shared" si="2"/>
        <v>Доп.</v>
      </c>
      <c r="W25" s="16"/>
      <c r="X25" s="1"/>
      <c r="Y25" s="10"/>
      <c r="Z25" s="10"/>
      <c r="AA25" s="10"/>
    </row>
    <row r="26" spans="1:27" ht="93.6" x14ac:dyDescent="0.3">
      <c r="A26" s="10"/>
      <c r="B26" s="10"/>
      <c r="C26" s="10"/>
      <c r="D26" s="69" t="s">
        <v>24</v>
      </c>
      <c r="E26" s="1" t="s">
        <v>122</v>
      </c>
      <c r="F26" s="1" t="s">
        <v>124</v>
      </c>
      <c r="G26" s="1" t="s">
        <v>123</v>
      </c>
      <c r="H26" s="1" t="s">
        <v>125</v>
      </c>
      <c r="I26" s="16">
        <v>5</v>
      </c>
      <c r="J26" s="16">
        <v>2</v>
      </c>
      <c r="K26" s="16">
        <f>J26*I26</f>
        <v>10</v>
      </c>
      <c r="L26" s="14" t="str">
        <f t="shared" si="0"/>
        <v>Не доп.</v>
      </c>
      <c r="M26" s="24" t="s">
        <v>130</v>
      </c>
      <c r="N26" s="17" t="s">
        <v>127</v>
      </c>
      <c r="O26" s="1" t="s">
        <v>128</v>
      </c>
      <c r="P26" s="34"/>
      <c r="Q26" s="16"/>
      <c r="R26" s="33"/>
      <c r="S26" s="16">
        <v>5</v>
      </c>
      <c r="T26" s="16">
        <v>1</v>
      </c>
      <c r="U26" s="19">
        <f t="shared" si="1"/>
        <v>5</v>
      </c>
      <c r="V26" s="14" t="str">
        <f t="shared" si="2"/>
        <v>Доп.</v>
      </c>
      <c r="W26" s="16"/>
      <c r="X26" s="16" t="s">
        <v>129</v>
      </c>
      <c r="Y26" s="10"/>
      <c r="Z26" s="10"/>
      <c r="AA26" s="10"/>
    </row>
    <row r="27" spans="1:27" ht="109.2" x14ac:dyDescent="0.3">
      <c r="A27" s="10"/>
      <c r="B27" s="10"/>
      <c r="C27" s="10"/>
      <c r="D27" s="69" t="s">
        <v>24</v>
      </c>
      <c r="E27" s="37" t="s">
        <v>132</v>
      </c>
      <c r="F27" s="1" t="s">
        <v>145</v>
      </c>
      <c r="G27" s="37" t="s">
        <v>144</v>
      </c>
      <c r="H27" s="20" t="s">
        <v>143</v>
      </c>
      <c r="I27" s="16">
        <v>5</v>
      </c>
      <c r="J27" s="38">
        <v>3</v>
      </c>
      <c r="K27" s="16">
        <f t="shared" si="8"/>
        <v>15</v>
      </c>
      <c r="L27" s="14" t="str">
        <f t="shared" si="0"/>
        <v>Не доп.</v>
      </c>
      <c r="M27" s="80" t="s">
        <v>146</v>
      </c>
      <c r="N27" s="17" t="s">
        <v>147</v>
      </c>
      <c r="O27" s="1" t="s">
        <v>148</v>
      </c>
      <c r="P27" s="34"/>
      <c r="Q27" s="39"/>
      <c r="R27" s="33"/>
      <c r="S27" s="38">
        <v>4</v>
      </c>
      <c r="T27" s="38">
        <v>1</v>
      </c>
      <c r="U27" s="19">
        <f t="shared" si="1"/>
        <v>4</v>
      </c>
      <c r="V27" s="14" t="str">
        <f t="shared" si="2"/>
        <v>Доп.</v>
      </c>
      <c r="W27" s="16"/>
      <c r="X27" s="16"/>
      <c r="Y27" s="10"/>
      <c r="Z27" s="10"/>
      <c r="AA27" s="10"/>
    </row>
    <row r="28" spans="1:27" ht="62.4" x14ac:dyDescent="0.3">
      <c r="A28" s="10"/>
      <c r="B28" s="10"/>
      <c r="C28" s="10"/>
      <c r="D28" s="69" t="s">
        <v>24</v>
      </c>
      <c r="E28" s="25" t="s">
        <v>139</v>
      </c>
      <c r="F28" s="25" t="s">
        <v>133</v>
      </c>
      <c r="G28" s="25" t="s">
        <v>149</v>
      </c>
      <c r="H28" s="25" t="s">
        <v>150</v>
      </c>
      <c r="I28" s="25">
        <v>5</v>
      </c>
      <c r="J28" s="25">
        <v>3</v>
      </c>
      <c r="K28" s="16">
        <f t="shared" si="8"/>
        <v>15</v>
      </c>
      <c r="L28" s="14" t="str">
        <f t="shared" si="0"/>
        <v>Не доп.</v>
      </c>
      <c r="M28" s="80" t="s">
        <v>151</v>
      </c>
      <c r="N28" s="17"/>
      <c r="O28" s="1" t="s">
        <v>141</v>
      </c>
      <c r="P28" s="34"/>
      <c r="Q28" s="39"/>
      <c r="R28" s="33"/>
      <c r="S28" s="38">
        <v>5</v>
      </c>
      <c r="T28" s="38">
        <v>1</v>
      </c>
      <c r="U28" s="19">
        <f t="shared" si="1"/>
        <v>5</v>
      </c>
      <c r="V28" s="14" t="str">
        <f t="shared" si="2"/>
        <v>Доп.</v>
      </c>
      <c r="W28" s="16"/>
      <c r="X28" s="16"/>
      <c r="Y28" s="10"/>
      <c r="Z28" s="10"/>
      <c r="AA28" s="10"/>
    </row>
    <row r="29" spans="1:27" ht="234" x14ac:dyDescent="0.3">
      <c r="A29" s="10"/>
      <c r="B29" s="10"/>
      <c r="C29" s="10"/>
      <c r="D29" s="69" t="s">
        <v>24</v>
      </c>
      <c r="E29" s="78" t="s">
        <v>139</v>
      </c>
      <c r="F29" s="78" t="s">
        <v>152</v>
      </c>
      <c r="G29" s="78" t="s">
        <v>138</v>
      </c>
      <c r="H29" s="25" t="s">
        <v>150</v>
      </c>
      <c r="I29" s="25">
        <v>5</v>
      </c>
      <c r="J29" s="25">
        <v>3</v>
      </c>
      <c r="K29" s="16">
        <f t="shared" si="8"/>
        <v>15</v>
      </c>
      <c r="L29" s="14" t="str">
        <f t="shared" si="0"/>
        <v>Не доп.</v>
      </c>
      <c r="M29" s="77"/>
      <c r="N29" s="77"/>
      <c r="O29" s="76" t="s">
        <v>140</v>
      </c>
      <c r="P29" s="66"/>
      <c r="Q29" s="25"/>
      <c r="R29" s="66"/>
      <c r="S29" s="18">
        <v>5</v>
      </c>
      <c r="T29" s="25">
        <v>2</v>
      </c>
      <c r="U29" s="19">
        <f t="shared" si="1"/>
        <v>10</v>
      </c>
      <c r="V29" s="14" t="str">
        <f t="shared" si="2"/>
        <v>Не доп.</v>
      </c>
      <c r="W29" s="16"/>
      <c r="X29" s="16"/>
      <c r="Y29" s="10"/>
      <c r="Z29" s="10"/>
      <c r="AA29" s="10"/>
    </row>
    <row r="30" spans="1:27" ht="93.6" x14ac:dyDescent="0.3">
      <c r="A30" s="10"/>
      <c r="B30" s="10"/>
      <c r="C30" s="10"/>
      <c r="D30" s="69" t="s">
        <v>24</v>
      </c>
      <c r="E30" s="78" t="s">
        <v>139</v>
      </c>
      <c r="F30" s="79" t="s">
        <v>134</v>
      </c>
      <c r="G30" s="78" t="s">
        <v>138</v>
      </c>
      <c r="H30" s="25" t="s">
        <v>150</v>
      </c>
      <c r="I30" s="25">
        <v>5</v>
      </c>
      <c r="J30" s="25">
        <v>2</v>
      </c>
      <c r="K30" s="16">
        <f t="shared" si="8"/>
        <v>10</v>
      </c>
      <c r="L30" s="14" t="str">
        <f t="shared" si="0"/>
        <v>Не доп.</v>
      </c>
      <c r="M30" s="77"/>
      <c r="N30" s="77"/>
      <c r="O30" s="76" t="s">
        <v>140</v>
      </c>
      <c r="P30" s="66"/>
      <c r="Q30" s="25"/>
      <c r="R30" s="66"/>
      <c r="S30" s="18">
        <v>5</v>
      </c>
      <c r="T30" s="25">
        <v>1</v>
      </c>
      <c r="U30" s="19">
        <f t="shared" si="1"/>
        <v>5</v>
      </c>
      <c r="V30" s="14" t="str">
        <f t="shared" si="2"/>
        <v>Доп.</v>
      </c>
      <c r="W30" s="16"/>
      <c r="X30" s="16"/>
      <c r="Y30" s="10"/>
      <c r="Z30" s="10"/>
      <c r="AA30" s="10"/>
    </row>
    <row r="31" spans="1:27" ht="94.5" customHeight="1" x14ac:dyDescent="0.3">
      <c r="A31" s="10"/>
      <c r="B31" s="10"/>
      <c r="C31" s="10"/>
      <c r="D31" s="69" t="s">
        <v>24</v>
      </c>
      <c r="E31" s="78" t="s">
        <v>139</v>
      </c>
      <c r="F31" s="78" t="s">
        <v>135</v>
      </c>
      <c r="G31" s="78" t="s">
        <v>138</v>
      </c>
      <c r="H31" s="25" t="s">
        <v>150</v>
      </c>
      <c r="I31" s="25">
        <v>5</v>
      </c>
      <c r="J31" s="25">
        <v>3</v>
      </c>
      <c r="K31" s="16">
        <f t="shared" si="8"/>
        <v>15</v>
      </c>
      <c r="L31" s="14" t="str">
        <f t="shared" si="0"/>
        <v>Не доп.</v>
      </c>
      <c r="M31" s="77"/>
      <c r="N31" s="77"/>
      <c r="O31" s="76" t="s">
        <v>140</v>
      </c>
      <c r="P31" s="66"/>
      <c r="Q31" s="25"/>
      <c r="R31" s="66"/>
      <c r="S31" s="18">
        <v>5</v>
      </c>
      <c r="T31" s="25">
        <v>2</v>
      </c>
      <c r="U31" s="19">
        <f t="shared" si="1"/>
        <v>10</v>
      </c>
      <c r="V31" s="14" t="str">
        <f t="shared" si="2"/>
        <v>Не доп.</v>
      </c>
      <c r="W31" s="16"/>
      <c r="X31" s="16"/>
      <c r="Y31" s="10"/>
      <c r="Z31" s="10"/>
      <c r="AA31" s="10"/>
    </row>
    <row r="32" spans="1:27" ht="63" customHeight="1" x14ac:dyDescent="0.3">
      <c r="A32" s="10"/>
      <c r="B32" s="10"/>
      <c r="C32" s="10"/>
      <c r="D32" s="69" t="s">
        <v>24</v>
      </c>
      <c r="E32" s="78" t="s">
        <v>139</v>
      </c>
      <c r="F32" s="78" t="s">
        <v>136</v>
      </c>
      <c r="G32" s="78" t="s">
        <v>138</v>
      </c>
      <c r="H32" s="25" t="s">
        <v>150</v>
      </c>
      <c r="I32" s="25">
        <v>5</v>
      </c>
      <c r="J32" s="25">
        <v>3</v>
      </c>
      <c r="K32" s="16">
        <f t="shared" si="8"/>
        <v>15</v>
      </c>
      <c r="L32" s="14" t="str">
        <f t="shared" si="0"/>
        <v>Не доп.</v>
      </c>
      <c r="M32" s="77"/>
      <c r="N32" s="77"/>
      <c r="O32" s="76" t="s">
        <v>140</v>
      </c>
      <c r="P32" s="66"/>
      <c r="Q32" s="25"/>
      <c r="R32" s="66"/>
      <c r="S32" s="18">
        <v>5</v>
      </c>
      <c r="T32" s="25">
        <v>2</v>
      </c>
      <c r="U32" s="19">
        <f t="shared" si="1"/>
        <v>10</v>
      </c>
      <c r="V32" s="14" t="str">
        <f t="shared" si="2"/>
        <v>Не доп.</v>
      </c>
      <c r="W32" s="16"/>
      <c r="X32" s="16"/>
      <c r="Y32" s="10"/>
      <c r="Z32" s="10"/>
      <c r="AA32" s="10"/>
    </row>
    <row r="33" spans="1:27" ht="110.25" customHeight="1" x14ac:dyDescent="0.3">
      <c r="A33" s="10"/>
      <c r="B33" s="10"/>
      <c r="C33" s="10"/>
      <c r="D33" s="69" t="s">
        <v>24</v>
      </c>
      <c r="E33" s="78" t="s">
        <v>139</v>
      </c>
      <c r="F33" s="78" t="s">
        <v>137</v>
      </c>
      <c r="G33" s="78" t="s">
        <v>138</v>
      </c>
      <c r="H33" s="25" t="s">
        <v>150</v>
      </c>
      <c r="I33" s="21">
        <v>5</v>
      </c>
      <c r="J33" s="21">
        <v>2</v>
      </c>
      <c r="K33" s="16">
        <f t="shared" si="8"/>
        <v>10</v>
      </c>
      <c r="L33" s="14" t="str">
        <f t="shared" si="0"/>
        <v>Не доп.</v>
      </c>
      <c r="M33" s="77" t="s">
        <v>142</v>
      </c>
      <c r="N33" s="77"/>
      <c r="O33" s="76"/>
      <c r="P33" s="67"/>
      <c r="Q33" s="21"/>
      <c r="R33" s="67"/>
      <c r="S33" s="18">
        <v>5</v>
      </c>
      <c r="T33" s="21">
        <v>1</v>
      </c>
      <c r="U33" s="19">
        <f t="shared" si="1"/>
        <v>5</v>
      </c>
      <c r="V33" s="14" t="str">
        <f t="shared" si="2"/>
        <v>Доп.</v>
      </c>
      <c r="W33" s="16"/>
      <c r="X33" s="16"/>
      <c r="Y33" s="10"/>
      <c r="Z33" s="10"/>
      <c r="AA33" s="10"/>
    </row>
    <row r="34" spans="1:27" ht="140.4" x14ac:dyDescent="0.3">
      <c r="A34" s="10"/>
      <c r="B34" s="10"/>
      <c r="C34" s="10"/>
      <c r="D34" s="69" t="s">
        <v>24</v>
      </c>
      <c r="E34" s="1" t="s">
        <v>153</v>
      </c>
      <c r="F34" s="1" t="s">
        <v>154</v>
      </c>
      <c r="G34" s="1" t="s">
        <v>155</v>
      </c>
      <c r="H34" s="1" t="s">
        <v>125</v>
      </c>
      <c r="I34" s="16">
        <v>5</v>
      </c>
      <c r="J34" s="16">
        <v>2</v>
      </c>
      <c r="K34" s="16">
        <f t="shared" si="8"/>
        <v>10</v>
      </c>
      <c r="L34" s="14" t="str">
        <f t="shared" si="0"/>
        <v>Не доп.</v>
      </c>
      <c r="M34" s="24"/>
      <c r="N34" s="17" t="s">
        <v>157</v>
      </c>
      <c r="O34" s="1" t="s">
        <v>158</v>
      </c>
      <c r="P34" s="34"/>
      <c r="Q34" s="16"/>
      <c r="R34" s="33"/>
      <c r="S34" s="16">
        <v>5</v>
      </c>
      <c r="T34" s="16">
        <v>1</v>
      </c>
      <c r="U34" s="19">
        <f t="shared" si="1"/>
        <v>5</v>
      </c>
      <c r="V34" s="14" t="str">
        <f t="shared" si="2"/>
        <v>Доп.</v>
      </c>
      <c r="W34" s="16"/>
      <c r="X34" s="16"/>
      <c r="Y34" s="10"/>
      <c r="Z34" s="10"/>
      <c r="AA34" s="10"/>
    </row>
    <row r="35" spans="1:27" ht="110.25" customHeight="1" x14ac:dyDescent="0.3">
      <c r="A35" s="10"/>
      <c r="B35" s="10"/>
      <c r="C35" s="10"/>
      <c r="D35" s="69" t="s">
        <v>24</v>
      </c>
      <c r="E35" s="1" t="s">
        <v>153</v>
      </c>
      <c r="F35" s="1" t="s">
        <v>156</v>
      </c>
      <c r="G35" s="1" t="s">
        <v>155</v>
      </c>
      <c r="H35" s="1" t="s">
        <v>125</v>
      </c>
      <c r="I35" s="16">
        <v>5</v>
      </c>
      <c r="J35" s="16">
        <v>2</v>
      </c>
      <c r="K35" s="16">
        <f t="shared" si="8"/>
        <v>10</v>
      </c>
      <c r="L35" s="14" t="str">
        <f t="shared" si="0"/>
        <v>Не доп.</v>
      </c>
      <c r="M35" s="24" t="s">
        <v>159</v>
      </c>
      <c r="N35" s="17" t="s">
        <v>157</v>
      </c>
      <c r="O35" s="1" t="s">
        <v>160</v>
      </c>
      <c r="P35" s="34"/>
      <c r="Q35" s="16"/>
      <c r="R35" s="33"/>
      <c r="S35" s="16">
        <v>5</v>
      </c>
      <c r="T35" s="16">
        <v>1</v>
      </c>
      <c r="U35" s="19">
        <f t="shared" si="1"/>
        <v>5</v>
      </c>
      <c r="V35" s="14" t="str">
        <f t="shared" si="2"/>
        <v>Доп.</v>
      </c>
      <c r="W35" s="16"/>
      <c r="X35" s="16"/>
      <c r="Y35" s="10"/>
      <c r="Z35" s="10"/>
      <c r="AA35" s="10"/>
    </row>
    <row r="36" spans="1:27" ht="94.5" customHeight="1" x14ac:dyDescent="0.3">
      <c r="A36" s="10"/>
      <c r="B36" s="10"/>
      <c r="C36" s="10"/>
      <c r="D36" s="69" t="s">
        <v>24</v>
      </c>
      <c r="E36" s="68" t="s">
        <v>162</v>
      </c>
      <c r="F36" s="25" t="s">
        <v>163</v>
      </c>
      <c r="G36" s="25" t="s">
        <v>161</v>
      </c>
      <c r="H36" s="25" t="s">
        <v>125</v>
      </c>
      <c r="I36" s="25">
        <v>5</v>
      </c>
      <c r="J36" s="25">
        <v>2</v>
      </c>
      <c r="K36" s="16">
        <f t="shared" si="8"/>
        <v>10</v>
      </c>
      <c r="L36" s="14" t="str">
        <f t="shared" si="0"/>
        <v>Не доп.</v>
      </c>
      <c r="M36" s="40"/>
      <c r="N36" s="41"/>
      <c r="O36" s="35" t="s">
        <v>164</v>
      </c>
      <c r="P36" s="34"/>
      <c r="Q36" s="42"/>
      <c r="R36" s="41"/>
      <c r="S36" s="16">
        <v>5</v>
      </c>
      <c r="T36" s="16">
        <v>1</v>
      </c>
      <c r="U36" s="19">
        <f t="shared" si="1"/>
        <v>5</v>
      </c>
      <c r="V36" s="14" t="str">
        <f t="shared" si="2"/>
        <v>Доп.</v>
      </c>
      <c r="W36" s="16"/>
      <c r="X36" s="16"/>
      <c r="Y36" s="10"/>
      <c r="Z36" s="10"/>
      <c r="AA36" s="10"/>
    </row>
    <row r="37" spans="1:27" ht="63" customHeight="1" x14ac:dyDescent="0.3">
      <c r="A37" s="10"/>
      <c r="B37" s="10"/>
      <c r="C37" s="10"/>
      <c r="D37" s="84" t="s">
        <v>24</v>
      </c>
      <c r="E37" s="43" t="s">
        <v>172</v>
      </c>
      <c r="F37" s="43" t="s">
        <v>173</v>
      </c>
      <c r="G37" s="43" t="s">
        <v>174</v>
      </c>
      <c r="H37" s="43" t="s">
        <v>175</v>
      </c>
      <c r="I37" s="85">
        <v>4</v>
      </c>
      <c r="J37" s="85">
        <v>3</v>
      </c>
      <c r="K37" s="16">
        <f t="shared" si="8"/>
        <v>12</v>
      </c>
      <c r="L37" s="14" t="str">
        <f t="shared" si="0"/>
        <v>Не доп.</v>
      </c>
      <c r="M37" s="29"/>
      <c r="N37" s="32" t="s">
        <v>176</v>
      </c>
      <c r="O37" s="30" t="s">
        <v>406</v>
      </c>
      <c r="P37" s="34"/>
      <c r="Q37" s="31" t="s">
        <v>404</v>
      </c>
      <c r="R37" s="32" t="s">
        <v>405</v>
      </c>
      <c r="S37" s="16">
        <v>4</v>
      </c>
      <c r="T37" s="16">
        <v>1</v>
      </c>
      <c r="U37" s="19">
        <f t="shared" si="1"/>
        <v>4</v>
      </c>
      <c r="V37" s="14" t="str">
        <f t="shared" si="2"/>
        <v>Доп.</v>
      </c>
      <c r="W37" s="16"/>
      <c r="X37" s="16"/>
      <c r="Y37" s="10"/>
      <c r="Z37" s="10"/>
      <c r="AA37" s="10"/>
    </row>
    <row r="38" spans="1:27" ht="110.25" customHeight="1" x14ac:dyDescent="0.3">
      <c r="A38" s="10"/>
      <c r="B38" s="10"/>
      <c r="C38" s="10"/>
      <c r="D38" s="69"/>
      <c r="E38" s="1"/>
      <c r="F38" s="43" t="s">
        <v>240</v>
      </c>
      <c r="G38" s="43" t="s">
        <v>241</v>
      </c>
      <c r="H38" s="86" t="s">
        <v>304</v>
      </c>
      <c r="I38" s="85">
        <v>5</v>
      </c>
      <c r="J38" s="85">
        <v>2</v>
      </c>
      <c r="K38" s="16">
        <f t="shared" si="8"/>
        <v>10</v>
      </c>
      <c r="L38" s="14" t="str">
        <f t="shared" si="0"/>
        <v>Не доп.</v>
      </c>
      <c r="M38" s="24" t="s">
        <v>242</v>
      </c>
      <c r="N38" s="17" t="s">
        <v>243</v>
      </c>
      <c r="O38" s="1" t="s">
        <v>244</v>
      </c>
      <c r="P38" s="34"/>
      <c r="Q38" s="16"/>
      <c r="R38" s="33"/>
      <c r="S38" s="16">
        <v>3</v>
      </c>
      <c r="T38" s="16">
        <v>1</v>
      </c>
      <c r="U38" s="19">
        <f t="shared" si="1"/>
        <v>3</v>
      </c>
      <c r="V38" s="14" t="str">
        <f t="shared" si="2"/>
        <v>Доп.</v>
      </c>
      <c r="W38" s="16"/>
      <c r="X38" s="16"/>
      <c r="Y38" s="10"/>
      <c r="Z38" s="10"/>
      <c r="AA38" s="10"/>
    </row>
    <row r="39" spans="1:27" ht="109.2" x14ac:dyDescent="0.3">
      <c r="A39" s="10"/>
      <c r="B39" s="10"/>
      <c r="C39" s="10"/>
      <c r="D39" s="69"/>
      <c r="E39" s="1"/>
      <c r="F39" s="43" t="s">
        <v>309</v>
      </c>
      <c r="G39" s="43" t="s">
        <v>241</v>
      </c>
      <c r="H39" s="86" t="s">
        <v>304</v>
      </c>
      <c r="I39" s="43">
        <v>5</v>
      </c>
      <c r="J39" s="43">
        <v>3</v>
      </c>
      <c r="K39" s="16">
        <f t="shared" si="8"/>
        <v>15</v>
      </c>
      <c r="L39" s="14" t="str">
        <f t="shared" si="0"/>
        <v>Не доп.</v>
      </c>
      <c r="M39" s="24"/>
      <c r="N39" s="24" t="s">
        <v>310</v>
      </c>
      <c r="O39" s="1"/>
      <c r="P39" s="34"/>
      <c r="Q39" s="1"/>
      <c r="R39" s="33"/>
      <c r="S39" s="1">
        <v>5</v>
      </c>
      <c r="T39" s="1">
        <v>1</v>
      </c>
      <c r="U39" s="19">
        <f t="shared" si="1"/>
        <v>5</v>
      </c>
      <c r="V39" s="14" t="str">
        <f t="shared" si="2"/>
        <v>Доп.</v>
      </c>
      <c r="W39" s="16"/>
      <c r="X39" s="1"/>
      <c r="Y39" s="10"/>
      <c r="Z39" s="10"/>
      <c r="AA39" s="10"/>
    </row>
    <row r="40" spans="1:27" x14ac:dyDescent="0.3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</row>
    <row r="41" spans="1:27" x14ac:dyDescent="0.3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</row>
    <row r="42" spans="1:27" x14ac:dyDescent="0.3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</row>
    <row r="43" spans="1:27" x14ac:dyDescent="0.3">
      <c r="A43" s="10"/>
      <c r="B43" s="10"/>
      <c r="C43" s="10"/>
      <c r="D43" s="48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</row>
    <row r="44" spans="1:27" x14ac:dyDescent="0.3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</row>
    <row r="45" spans="1:27" x14ac:dyDescent="0.3">
      <c r="A45" s="10"/>
      <c r="B45" s="10"/>
      <c r="C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</row>
    <row r="46" spans="1:27" x14ac:dyDescent="0.3">
      <c r="A46" s="10"/>
      <c r="B46" s="10"/>
      <c r="C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</row>
    <row r="47" spans="1:27" x14ac:dyDescent="0.3">
      <c r="A47" s="10"/>
      <c r="B47" s="10"/>
      <c r="C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</row>
  </sheetData>
  <autoFilter ref="A4:X47" xr:uid="{00000000-0009-0000-0000-000000000000}">
    <sortState xmlns:xlrd2="http://schemas.microsoft.com/office/spreadsheetml/2017/richdata2" ref="A5:W228">
      <sortCondition ref="A4:A228"/>
    </sortState>
  </autoFilter>
  <mergeCells count="9">
    <mergeCell ref="M1:U1"/>
    <mergeCell ref="V1:V3"/>
    <mergeCell ref="X1:X3"/>
    <mergeCell ref="M2:O2"/>
    <mergeCell ref="S2:S3"/>
    <mergeCell ref="T2:T3"/>
    <mergeCell ref="U2:U3"/>
    <mergeCell ref="P2:R2"/>
    <mergeCell ref="W1:W3"/>
  </mergeCells>
  <conditionalFormatting sqref="K5:K39 K21516:K1048576">
    <cfRule type="cellIs" dxfId="48" priority="10" operator="greaterThan">
      <formula>12</formula>
    </cfRule>
    <cfRule type="cellIs" dxfId="47" priority="11" operator="between">
      <formula>6</formula>
      <formula>12</formula>
    </cfRule>
    <cfRule type="cellIs" dxfId="46" priority="12" operator="lessThan">
      <formula>6</formula>
    </cfRule>
  </conditionalFormatting>
  <conditionalFormatting sqref="K12:K13">
    <cfRule type="colorScale" priority="62">
      <colorScale>
        <cfvo type="min"/>
        <cfvo type="percentile" val="50"/>
        <cfvo type="max"/>
        <color rgb="FF92D050"/>
        <color rgb="FFFFEB84"/>
        <color rgb="FFFF0000"/>
      </colorScale>
    </cfRule>
    <cfRule type="colorScale" priority="6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14:K17">
    <cfRule type="colorScale" priority="60">
      <colorScale>
        <cfvo type="min"/>
        <cfvo type="percentile" val="50"/>
        <cfvo type="max"/>
        <color rgb="FF92D050"/>
        <color rgb="FFFFEB84"/>
        <color rgb="FFFF0000"/>
      </colorScale>
    </cfRule>
    <cfRule type="colorScale" priority="6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18:K23">
    <cfRule type="colorScale" priority="58">
      <colorScale>
        <cfvo type="min"/>
        <cfvo type="percentile" val="50"/>
        <cfvo type="max"/>
        <color rgb="FF92D050"/>
        <color rgb="FFFFEB84"/>
        <color rgb="FFFF0000"/>
      </colorScale>
    </cfRule>
    <cfRule type="colorScale" priority="5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24:K34">
    <cfRule type="colorScale" priority="56">
      <colorScale>
        <cfvo type="min"/>
        <cfvo type="percentile" val="50"/>
        <cfvo type="max"/>
        <color rgb="FF92D050"/>
        <color rgb="FFFFEB84"/>
        <color rgb="FFFF0000"/>
      </colorScale>
    </cfRule>
    <cfRule type="colorScale" priority="5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35:K39">
    <cfRule type="colorScale" priority="490">
      <colorScale>
        <cfvo type="min"/>
        <cfvo type="percentile" val="50"/>
        <cfvo type="max"/>
        <color rgb="FF92D050"/>
        <color rgb="FFFFEB84"/>
        <color rgb="FFFF0000"/>
      </colorScale>
    </cfRule>
    <cfRule type="colorScale" priority="49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21516:K1048576 K5:K11">
    <cfRule type="colorScale" priority="488">
      <colorScale>
        <cfvo type="min"/>
        <cfvo type="percentile" val="50"/>
        <cfvo type="max"/>
        <color rgb="FF92D050"/>
        <color rgb="FFFFEB84"/>
        <color rgb="FFFF0000"/>
      </colorScale>
    </cfRule>
    <cfRule type="colorScale" priority="48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21516:K1048576 K5:K39">
    <cfRule type="colorScale" priority="13">
      <colorScale>
        <cfvo type="num" val="6"/>
        <cfvo type="num" val="12"/>
        <cfvo type="num" val="20"/>
        <color rgb="FF00B050"/>
        <color rgb="FFFFEB84"/>
        <color rgb="FFFF0000"/>
      </colorScale>
    </cfRule>
    <cfRule type="colorScale" priority="15">
      <colorScale>
        <cfvo type="num" val="10"/>
        <cfvo type="num" val="12"/>
        <cfvo type="num" val="20"/>
        <color rgb="FFF8696B"/>
        <color rgb="FFFFEB84"/>
        <color rgb="FF63BE7B"/>
      </colorScale>
    </cfRule>
  </conditionalFormatting>
  <conditionalFormatting sqref="L1:L1048576 V1:V1048576">
    <cfRule type="cellIs" dxfId="45" priority="3" operator="equal">
      <formula>"Не доп."</formula>
    </cfRule>
    <cfRule type="cellIs" dxfId="44" priority="4" operator="equal">
      <formula>"Доп."</formula>
    </cfRule>
  </conditionalFormatting>
  <conditionalFormatting sqref="L5:L39">
    <cfRule type="cellIs" dxfId="43" priority="5" operator="equal">
      <formula>"Не доп."</formula>
    </cfRule>
    <cfRule type="cellIs" dxfId="42" priority="6" operator="equal">
      <formula>"Доп."</formula>
    </cfRule>
  </conditionalFormatting>
  <conditionalFormatting sqref="U1 U5:U39 U21516:U1048576">
    <cfRule type="cellIs" dxfId="41" priority="7" operator="greaterThan">
      <formula>12</formula>
    </cfRule>
    <cfRule type="cellIs" dxfId="40" priority="8" operator="between">
      <formula>6</formula>
      <formula>12</formula>
    </cfRule>
    <cfRule type="cellIs" dxfId="39" priority="9" operator="lessThan">
      <formula>6</formula>
    </cfRule>
  </conditionalFormatting>
  <pageMargins left="0.7" right="0.7" top="0.75" bottom="0.75" header="0.3" footer="0.3"/>
  <pageSetup paperSize="9" orientation="landscape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13"/>
  <sheetViews>
    <sheetView tabSelected="1" topLeftCell="G1" zoomScale="70" zoomScaleNormal="70" workbookViewId="0">
      <selection activeCell="R5" sqref="R5"/>
    </sheetView>
  </sheetViews>
  <sheetFormatPr defaultRowHeight="14.4" x14ac:dyDescent="0.3"/>
  <cols>
    <col min="1" max="1" width="5" customWidth="1"/>
    <col min="2" max="2" width="3.88671875" customWidth="1"/>
    <col min="3" max="3" width="3.44140625" customWidth="1"/>
    <col min="4" max="4" width="18.6640625" customWidth="1"/>
    <col min="5" max="5" width="32.109375" customWidth="1"/>
    <col min="6" max="6" width="37.6640625" customWidth="1"/>
    <col min="7" max="7" width="32.88671875" customWidth="1"/>
    <col min="8" max="8" width="27.33203125" customWidth="1"/>
    <col min="10" max="10" width="8.44140625" customWidth="1"/>
    <col min="11" max="11" width="7.5546875" customWidth="1"/>
    <col min="13" max="13" width="29.5546875" customWidth="1"/>
    <col min="14" max="14" width="28.6640625" customWidth="1"/>
    <col min="15" max="15" width="35" customWidth="1"/>
    <col min="16" max="16" width="18.44140625" customWidth="1"/>
    <col min="17" max="17" width="17.5546875" customWidth="1"/>
    <col min="18" max="18" width="14.5546875" customWidth="1"/>
    <col min="19" max="19" width="9" customWidth="1"/>
    <col min="20" max="20" width="7.88671875" customWidth="1"/>
    <col min="24" max="24" width="12.44140625" customWidth="1"/>
  </cols>
  <sheetData>
    <row r="1" spans="1:24" ht="87" thickBot="1" x14ac:dyDescent="0.35">
      <c r="A1" s="10"/>
      <c r="B1" s="10"/>
      <c r="C1" s="10"/>
      <c r="D1" s="52" t="s">
        <v>54</v>
      </c>
      <c r="E1" s="53" t="s">
        <v>0</v>
      </c>
      <c r="F1" s="54" t="s">
        <v>1</v>
      </c>
      <c r="G1" s="54" t="s">
        <v>2</v>
      </c>
      <c r="H1" s="54" t="s">
        <v>3</v>
      </c>
      <c r="I1" s="54" t="s">
        <v>4</v>
      </c>
      <c r="J1" s="54" t="s">
        <v>5</v>
      </c>
      <c r="K1" s="54" t="s">
        <v>6</v>
      </c>
      <c r="L1" s="54" t="s">
        <v>7</v>
      </c>
      <c r="M1" s="101" t="s">
        <v>8</v>
      </c>
      <c r="N1" s="102"/>
      <c r="O1" s="102"/>
      <c r="P1" s="102"/>
      <c r="Q1" s="102"/>
      <c r="R1" s="102"/>
      <c r="S1" s="102"/>
      <c r="T1" s="102"/>
      <c r="U1" s="103"/>
      <c r="V1" s="104" t="s">
        <v>7</v>
      </c>
      <c r="W1" s="104" t="s">
        <v>69</v>
      </c>
      <c r="X1" s="104" t="s">
        <v>70</v>
      </c>
    </row>
    <row r="2" spans="1:24" ht="15" thickBot="1" x14ac:dyDescent="0.35">
      <c r="A2" s="10"/>
      <c r="B2" s="10"/>
      <c r="C2" s="10"/>
      <c r="D2" s="50">
        <v>1</v>
      </c>
      <c r="E2" s="51">
        <v>2</v>
      </c>
      <c r="F2" s="51">
        <v>3</v>
      </c>
      <c r="G2" s="51">
        <v>4</v>
      </c>
      <c r="H2" s="51">
        <v>5</v>
      </c>
      <c r="I2" s="51">
        <v>6</v>
      </c>
      <c r="J2" s="51">
        <v>7</v>
      </c>
      <c r="K2" s="51">
        <v>8</v>
      </c>
      <c r="L2" s="51">
        <v>9</v>
      </c>
      <c r="M2" s="101" t="s">
        <v>9</v>
      </c>
      <c r="N2" s="102"/>
      <c r="O2" s="103"/>
      <c r="P2" s="101" t="s">
        <v>10</v>
      </c>
      <c r="Q2" s="102"/>
      <c r="R2" s="103"/>
      <c r="S2" s="107" t="s">
        <v>4</v>
      </c>
      <c r="T2" s="107" t="s">
        <v>5</v>
      </c>
      <c r="U2" s="107" t="s">
        <v>11</v>
      </c>
      <c r="V2" s="105"/>
      <c r="W2" s="105"/>
      <c r="X2" s="105"/>
    </row>
    <row r="3" spans="1:24" ht="43.8" thickBot="1" x14ac:dyDescent="0.35">
      <c r="A3" s="10"/>
      <c r="B3" s="10"/>
      <c r="C3" s="10"/>
      <c r="D3" s="55"/>
      <c r="E3" s="55"/>
      <c r="F3" s="55"/>
      <c r="G3" s="55"/>
      <c r="H3" s="55"/>
      <c r="I3" s="55"/>
      <c r="J3" s="55"/>
      <c r="K3" s="55"/>
      <c r="L3" s="56"/>
      <c r="M3" s="50" t="s">
        <v>12</v>
      </c>
      <c r="N3" s="51" t="s">
        <v>13</v>
      </c>
      <c r="O3" s="51" t="s">
        <v>14</v>
      </c>
      <c r="P3" s="51" t="s">
        <v>12</v>
      </c>
      <c r="Q3" s="51" t="s">
        <v>13</v>
      </c>
      <c r="R3" s="51" t="s">
        <v>14</v>
      </c>
      <c r="S3" s="108"/>
      <c r="T3" s="108"/>
      <c r="U3" s="108"/>
      <c r="V3" s="106"/>
      <c r="W3" s="106"/>
      <c r="X3" s="106"/>
    </row>
    <row r="4" spans="1:24" x14ac:dyDescent="0.3">
      <c r="A4" s="10" t="s">
        <v>34</v>
      </c>
      <c r="B4" s="10" t="s">
        <v>35</v>
      </c>
      <c r="C4" s="10" t="s">
        <v>55</v>
      </c>
      <c r="D4" s="57">
        <v>1</v>
      </c>
      <c r="E4" s="57">
        <v>2</v>
      </c>
      <c r="F4" s="57">
        <v>3</v>
      </c>
      <c r="G4" s="57">
        <v>4</v>
      </c>
      <c r="H4" s="57">
        <v>5</v>
      </c>
      <c r="I4" s="57">
        <v>6</v>
      </c>
      <c r="J4" s="57">
        <v>7</v>
      </c>
      <c r="K4" s="57">
        <v>8</v>
      </c>
      <c r="L4" s="58">
        <v>9</v>
      </c>
      <c r="M4" s="59" t="s">
        <v>15</v>
      </c>
      <c r="N4" s="60" t="s">
        <v>16</v>
      </c>
      <c r="O4" s="60" t="s">
        <v>17</v>
      </c>
      <c r="P4" s="60" t="s">
        <v>21</v>
      </c>
      <c r="Q4" s="60" t="s">
        <v>22</v>
      </c>
      <c r="R4" s="60" t="s">
        <v>23</v>
      </c>
      <c r="S4" s="61">
        <v>12</v>
      </c>
      <c r="T4" s="61">
        <v>13</v>
      </c>
      <c r="U4" s="61">
        <v>14</v>
      </c>
      <c r="V4" s="61">
        <v>15</v>
      </c>
      <c r="W4" s="61">
        <v>16</v>
      </c>
      <c r="X4" s="61">
        <v>17</v>
      </c>
    </row>
    <row r="5" spans="1:24" ht="93.6" x14ac:dyDescent="0.3">
      <c r="A5" s="10">
        <v>1</v>
      </c>
      <c r="B5" s="10"/>
      <c r="C5" s="10" t="str">
        <f>IF(AND(ISBLANK(M5),ISBLANK(N5),ISBLANK(O5)),"!","")</f>
        <v/>
      </c>
      <c r="D5" s="11" t="s">
        <v>24</v>
      </c>
      <c r="E5" s="9" t="s">
        <v>178</v>
      </c>
      <c r="F5" s="9" t="s">
        <v>180</v>
      </c>
      <c r="G5" s="9" t="s">
        <v>177</v>
      </c>
      <c r="H5" s="9" t="s">
        <v>181</v>
      </c>
      <c r="I5" s="12">
        <v>4</v>
      </c>
      <c r="J5" s="12">
        <v>3</v>
      </c>
      <c r="K5" s="13">
        <f t="shared" ref="K5:K13" si="0">I5*J5</f>
        <v>12</v>
      </c>
      <c r="L5" s="14" t="str">
        <f>IF(K5&gt;8, "Не доп.", "Доп.")</f>
        <v>Не доп.</v>
      </c>
      <c r="M5" s="1" t="s">
        <v>409</v>
      </c>
      <c r="N5" s="15" t="s">
        <v>410</v>
      </c>
      <c r="O5" s="1" t="s">
        <v>179</v>
      </c>
      <c r="P5" s="16"/>
      <c r="Q5" s="16"/>
      <c r="R5" s="17" t="s">
        <v>411</v>
      </c>
      <c r="S5" s="18">
        <v>4</v>
      </c>
      <c r="T5" s="18">
        <v>1</v>
      </c>
      <c r="U5" s="19">
        <f>S5*T5</f>
        <v>4</v>
      </c>
      <c r="V5" s="14" t="str">
        <f>IF(U5&gt;8, "Не доп.", "Доп.")</f>
        <v>Доп.</v>
      </c>
      <c r="W5" s="16"/>
      <c r="X5" s="16"/>
    </row>
    <row r="6" spans="1:24" ht="93.6" x14ac:dyDescent="0.3">
      <c r="A6" s="10">
        <v>2</v>
      </c>
      <c r="B6" s="10"/>
      <c r="C6" s="10" t="str">
        <f t="shared" ref="C6:C13" si="1">IF(AND(ISBLANK(M6),ISBLANK(N6),ISBLANK(O6)),"!","")</f>
        <v>!</v>
      </c>
      <c r="D6" s="1" t="s">
        <v>24</v>
      </c>
      <c r="E6" s="20" t="s">
        <v>182</v>
      </c>
      <c r="F6" s="20" t="s">
        <v>261</v>
      </c>
      <c r="G6" s="9" t="s">
        <v>177</v>
      </c>
      <c r="H6" s="9" t="s">
        <v>403</v>
      </c>
      <c r="I6" s="21">
        <v>4</v>
      </c>
      <c r="J6" s="21">
        <v>3</v>
      </c>
      <c r="K6" s="22">
        <f t="shared" si="0"/>
        <v>12</v>
      </c>
      <c r="L6" s="14" t="str">
        <f t="shared" ref="L6:L13" si="2">IF(K6&gt;8, "Не доп.", "Доп.")</f>
        <v>Не доп.</v>
      </c>
      <c r="M6" s="23"/>
      <c r="N6" s="15"/>
      <c r="O6" s="24"/>
      <c r="P6" s="17"/>
      <c r="Q6" s="16"/>
      <c r="R6" s="17"/>
      <c r="S6" s="18">
        <v>4</v>
      </c>
      <c r="T6" s="18">
        <v>1</v>
      </c>
      <c r="U6" s="19">
        <f t="shared" ref="U6:U13" si="3">S6*T6</f>
        <v>4</v>
      </c>
      <c r="V6" s="14" t="str">
        <f t="shared" ref="V6:V13" si="4">IF(U6&gt;8, "Не доп.", "Доп.")</f>
        <v>Доп.</v>
      </c>
      <c r="W6" s="16"/>
      <c r="X6" s="16"/>
    </row>
    <row r="7" spans="1:24" ht="46.8" x14ac:dyDescent="0.3">
      <c r="A7" s="10"/>
      <c r="B7" s="10"/>
      <c r="C7" s="10"/>
      <c r="D7" s="1"/>
      <c r="E7" s="20"/>
      <c r="F7" s="20" t="s">
        <v>265</v>
      </c>
      <c r="G7" s="9"/>
      <c r="H7" s="9"/>
      <c r="I7" s="21"/>
      <c r="J7" s="21"/>
      <c r="K7" s="22"/>
      <c r="L7" s="14"/>
      <c r="M7" s="23"/>
      <c r="N7" s="15"/>
      <c r="O7" s="24"/>
      <c r="P7" s="17"/>
      <c r="Q7" s="16"/>
      <c r="R7" s="17"/>
      <c r="S7" s="18"/>
      <c r="T7" s="18"/>
      <c r="U7" s="19"/>
      <c r="V7" s="14"/>
      <c r="W7" s="16"/>
      <c r="X7" s="16"/>
    </row>
    <row r="8" spans="1:24" ht="78" x14ac:dyDescent="0.3">
      <c r="A8" s="10"/>
      <c r="B8" s="10"/>
      <c r="C8" s="10"/>
      <c r="D8" s="1" t="s">
        <v>24</v>
      </c>
      <c r="E8" s="20" t="s">
        <v>256</v>
      </c>
      <c r="F8" s="20" t="s">
        <v>257</v>
      </c>
      <c r="G8" s="9" t="s">
        <v>258</v>
      </c>
      <c r="H8" s="9" t="s">
        <v>259</v>
      </c>
      <c r="I8" s="21">
        <v>3</v>
      </c>
      <c r="J8" s="21">
        <v>3</v>
      </c>
      <c r="K8" s="22">
        <f t="shared" ref="K8" si="5">I8*J8</f>
        <v>9</v>
      </c>
      <c r="L8" s="14" t="str">
        <f t="shared" ref="L8" si="6">IF(K8&gt;8, "Не доп.", "Доп.")</f>
        <v>Не доп.</v>
      </c>
      <c r="M8" s="80" t="s">
        <v>260</v>
      </c>
      <c r="N8" s="15"/>
      <c r="O8" s="24" t="s">
        <v>264</v>
      </c>
      <c r="P8" s="17"/>
      <c r="Q8" s="16"/>
      <c r="R8" s="17" t="s">
        <v>252</v>
      </c>
      <c r="S8" s="18">
        <v>1</v>
      </c>
      <c r="T8" s="18">
        <v>1</v>
      </c>
      <c r="U8" s="19">
        <f t="shared" ref="U8" si="7">S8*T8</f>
        <v>1</v>
      </c>
      <c r="V8" s="14" t="str">
        <f t="shared" ref="V8" si="8">IF(U8&gt;8, "Не доп.", "Доп.")</f>
        <v>Доп.</v>
      </c>
      <c r="W8" s="16"/>
      <c r="X8" s="16"/>
    </row>
    <row r="9" spans="1:24" ht="46.8" x14ac:dyDescent="0.3">
      <c r="A9" s="10"/>
      <c r="B9" s="10"/>
      <c r="C9" s="10"/>
      <c r="D9" s="1" t="s">
        <v>24</v>
      </c>
      <c r="E9" s="20" t="s">
        <v>190</v>
      </c>
      <c r="F9" s="20" t="s">
        <v>191</v>
      </c>
      <c r="G9" s="9" t="s">
        <v>192</v>
      </c>
      <c r="H9" s="9" t="s">
        <v>193</v>
      </c>
      <c r="I9" s="21">
        <v>5</v>
      </c>
      <c r="J9" s="21">
        <v>3</v>
      </c>
      <c r="K9" s="22">
        <f t="shared" si="0"/>
        <v>15</v>
      </c>
      <c r="L9" s="14" t="str">
        <f t="shared" ref="L9" si="9">IF(K9&gt;8, "Не доп.", "Доп.")</f>
        <v>Не доп.</v>
      </c>
      <c r="M9" s="23"/>
      <c r="N9" s="15" t="s">
        <v>194</v>
      </c>
      <c r="O9" s="24"/>
      <c r="P9" s="17"/>
      <c r="Q9" s="16" t="s">
        <v>225</v>
      </c>
      <c r="R9" s="17"/>
      <c r="S9" s="18">
        <v>5</v>
      </c>
      <c r="T9" s="18">
        <v>1</v>
      </c>
      <c r="U9" s="19">
        <f t="shared" ref="U9" si="10">S9*T9</f>
        <v>5</v>
      </c>
      <c r="V9" s="14" t="str">
        <f t="shared" ref="V9" si="11">IF(U9&gt;8, "Не доп.", "Доп.")</f>
        <v>Доп.</v>
      </c>
      <c r="W9" s="16"/>
      <c r="X9" s="16"/>
    </row>
    <row r="10" spans="1:24" ht="124.8" x14ac:dyDescent="0.3">
      <c r="A10" s="10"/>
      <c r="B10" s="10"/>
      <c r="C10" s="10"/>
      <c r="D10" s="1" t="s">
        <v>24</v>
      </c>
      <c r="E10" s="20" t="s">
        <v>245</v>
      </c>
      <c r="F10" s="20" t="s">
        <v>246</v>
      </c>
      <c r="G10" s="9" t="s">
        <v>247</v>
      </c>
      <c r="H10" s="9" t="s">
        <v>248</v>
      </c>
      <c r="I10" s="21">
        <v>5</v>
      </c>
      <c r="J10" s="21">
        <v>2</v>
      </c>
      <c r="K10" s="22">
        <f t="shared" ref="K10" si="12">I10*J10</f>
        <v>10</v>
      </c>
      <c r="L10" s="14" t="str">
        <f t="shared" ref="L10" si="13">IF(K10&gt;8, "Не доп.", "Доп.")</f>
        <v>Не доп.</v>
      </c>
      <c r="M10" s="23"/>
      <c r="N10" s="15"/>
      <c r="O10" s="24" t="s">
        <v>249</v>
      </c>
      <c r="P10" s="17"/>
      <c r="Q10" s="16"/>
      <c r="R10" s="17"/>
      <c r="S10" s="18">
        <v>5</v>
      </c>
      <c r="T10" s="18">
        <v>1</v>
      </c>
      <c r="U10" s="19">
        <f t="shared" ref="U10" si="14">S10*T10</f>
        <v>5</v>
      </c>
      <c r="V10" s="14" t="str">
        <f t="shared" ref="V10" si="15">IF(U10&gt;8, "Не доп.", "Доп.")</f>
        <v>Доп.</v>
      </c>
      <c r="W10" s="16"/>
      <c r="X10" s="16"/>
    </row>
    <row r="11" spans="1:24" ht="109.2" x14ac:dyDescent="0.3">
      <c r="A11" s="10">
        <v>3</v>
      </c>
      <c r="B11" s="10"/>
      <c r="C11" s="10" t="str">
        <f t="shared" si="1"/>
        <v/>
      </c>
      <c r="D11" s="25" t="s">
        <v>184</v>
      </c>
      <c r="E11" s="26" t="s">
        <v>183</v>
      </c>
      <c r="F11" s="26" t="s">
        <v>186</v>
      </c>
      <c r="G11" s="26" t="s">
        <v>185</v>
      </c>
      <c r="H11" s="81" t="s">
        <v>396</v>
      </c>
      <c r="I11" s="21">
        <v>5</v>
      </c>
      <c r="J11" s="21">
        <v>3</v>
      </c>
      <c r="K11" s="27">
        <f t="shared" si="0"/>
        <v>15</v>
      </c>
      <c r="L11" s="14" t="str">
        <f t="shared" si="2"/>
        <v>Не доп.</v>
      </c>
      <c r="M11" s="44" t="s">
        <v>188</v>
      </c>
      <c r="N11" s="15" t="s">
        <v>395</v>
      </c>
      <c r="O11" s="24"/>
      <c r="P11" s="17" t="s">
        <v>189</v>
      </c>
      <c r="Q11" s="16"/>
      <c r="R11" s="17"/>
      <c r="S11" s="18">
        <v>5</v>
      </c>
      <c r="T11" s="18">
        <v>1</v>
      </c>
      <c r="U11" s="19">
        <f t="shared" si="3"/>
        <v>5</v>
      </c>
      <c r="V11" s="14" t="str">
        <f t="shared" si="4"/>
        <v>Доп.</v>
      </c>
      <c r="W11" s="16"/>
      <c r="X11" s="16"/>
    </row>
    <row r="12" spans="1:24" ht="62.4" x14ac:dyDescent="0.3">
      <c r="A12" s="10">
        <v>4</v>
      </c>
      <c r="B12" s="10"/>
      <c r="C12" s="10" t="str">
        <f t="shared" si="1"/>
        <v/>
      </c>
      <c r="D12" s="1" t="s">
        <v>24</v>
      </c>
      <c r="E12" s="26" t="s">
        <v>183</v>
      </c>
      <c r="F12" s="20" t="s">
        <v>267</v>
      </c>
      <c r="G12" s="26" t="s">
        <v>185</v>
      </c>
      <c r="H12" s="81" t="s">
        <v>187</v>
      </c>
      <c r="I12" s="21">
        <v>5</v>
      </c>
      <c r="J12" s="21">
        <v>2</v>
      </c>
      <c r="K12" s="22">
        <f t="shared" si="0"/>
        <v>10</v>
      </c>
      <c r="L12" s="14" t="str">
        <f t="shared" si="2"/>
        <v>Не доп.</v>
      </c>
      <c r="M12" s="23"/>
      <c r="N12" s="26"/>
      <c r="O12" s="24" t="s">
        <v>266</v>
      </c>
      <c r="P12" s="17"/>
      <c r="Q12" s="16"/>
      <c r="R12" s="17"/>
      <c r="S12" s="18">
        <v>5</v>
      </c>
      <c r="T12" s="18">
        <v>1</v>
      </c>
      <c r="U12" s="19">
        <f t="shared" si="3"/>
        <v>5</v>
      </c>
      <c r="V12" s="14" t="str">
        <f t="shared" si="4"/>
        <v>Доп.</v>
      </c>
      <c r="W12" s="16"/>
      <c r="X12" s="16"/>
    </row>
    <row r="13" spans="1:24" ht="15.6" x14ac:dyDescent="0.3">
      <c r="A13" s="10">
        <v>5</v>
      </c>
      <c r="B13" s="10"/>
      <c r="C13" s="10" t="str">
        <f t="shared" si="1"/>
        <v>!</v>
      </c>
      <c r="D13" s="25"/>
      <c r="E13" s="26"/>
      <c r="F13" s="26"/>
      <c r="G13" s="26"/>
      <c r="H13" s="25"/>
      <c r="I13" s="21"/>
      <c r="J13" s="21"/>
      <c r="K13" s="22">
        <f t="shared" si="0"/>
        <v>0</v>
      </c>
      <c r="L13" s="14" t="str">
        <f t="shared" si="2"/>
        <v>Доп.</v>
      </c>
      <c r="M13" s="23"/>
      <c r="N13" s="15"/>
      <c r="O13" s="24"/>
      <c r="P13" s="17"/>
      <c r="Q13" s="16"/>
      <c r="R13" s="17"/>
      <c r="S13" s="18"/>
      <c r="T13" s="18"/>
      <c r="U13" s="19">
        <f t="shared" si="3"/>
        <v>0</v>
      </c>
      <c r="V13" s="14" t="str">
        <f t="shared" si="4"/>
        <v>Доп.</v>
      </c>
      <c r="W13" s="16"/>
      <c r="X13" s="16"/>
    </row>
  </sheetData>
  <mergeCells count="9">
    <mergeCell ref="M1:U1"/>
    <mergeCell ref="V1:V3"/>
    <mergeCell ref="W1:W3"/>
    <mergeCell ref="X1:X3"/>
    <mergeCell ref="M2:O2"/>
    <mergeCell ref="P2:R2"/>
    <mergeCell ref="S2:S3"/>
    <mergeCell ref="T2:T3"/>
    <mergeCell ref="U2:U3"/>
  </mergeCells>
  <conditionalFormatting sqref="K5:K13">
    <cfRule type="cellIs" dxfId="38" priority="10" operator="greaterThan">
      <formula>12</formula>
    </cfRule>
    <cfRule type="cellIs" dxfId="37" priority="11" operator="between">
      <formula>6</formula>
      <formula>12</formula>
    </cfRule>
    <cfRule type="cellIs" dxfId="36" priority="12" operator="lessThan">
      <formula>6</formula>
    </cfRule>
    <cfRule type="colorScale" priority="13">
      <colorScale>
        <cfvo type="num" val="6"/>
        <cfvo type="num" val="12"/>
        <cfvo type="num" val="20"/>
        <color rgb="FF00B050"/>
        <color rgb="FFFFEB84"/>
        <color rgb="FFFF0000"/>
      </colorScale>
    </cfRule>
    <cfRule type="colorScale" priority="14">
      <colorScale>
        <cfvo type="num" val="10"/>
        <cfvo type="num" val="12"/>
        <cfvo type="num" val="20"/>
        <color rgb="FFF8696B"/>
        <color rgb="FFFFEB84"/>
        <color rgb="FF63BE7B"/>
      </colorScale>
    </cfRule>
    <cfRule type="colorScale" priority="15">
      <colorScale>
        <cfvo type="min"/>
        <cfvo type="percentile" val="50"/>
        <cfvo type="max"/>
        <color rgb="FF92D050"/>
        <color rgb="FFFFEB84"/>
        <color rgb="FFFF0000"/>
      </colorScale>
    </cfRule>
    <cfRule type="colorScale" priority="1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1:L13">
    <cfRule type="cellIs" dxfId="35" priority="3" operator="equal">
      <formula>"Не доп."</formula>
    </cfRule>
    <cfRule type="cellIs" dxfId="34" priority="4" operator="equal">
      <formula>"Доп."</formula>
    </cfRule>
  </conditionalFormatting>
  <conditionalFormatting sqref="L5:L13">
    <cfRule type="cellIs" dxfId="33" priority="5" operator="equal">
      <formula>"Не доп."</formula>
    </cfRule>
    <cfRule type="cellIs" dxfId="32" priority="6" operator="equal">
      <formula>"Доп."</formula>
    </cfRule>
  </conditionalFormatting>
  <conditionalFormatting sqref="U1 U5:U13">
    <cfRule type="cellIs" dxfId="31" priority="7" operator="greaterThan">
      <formula>12</formula>
    </cfRule>
    <cfRule type="cellIs" dxfId="30" priority="8" operator="between">
      <formula>6</formula>
      <formula>12</formula>
    </cfRule>
    <cfRule type="cellIs" dxfId="29" priority="9" operator="lessThan">
      <formula>6</formula>
    </cfRule>
  </conditionalFormatting>
  <conditionalFormatting sqref="V1:V13">
    <cfRule type="cellIs" dxfId="28" priority="1" operator="equal">
      <formula>"Не доп."</formula>
    </cfRule>
    <cfRule type="cellIs" dxfId="27" priority="2" operator="equal">
      <formula>"Доп."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43"/>
  <sheetViews>
    <sheetView topLeftCell="O1" zoomScale="115" zoomScaleNormal="115" workbookViewId="0">
      <selection activeCell="W36" sqref="W36"/>
    </sheetView>
  </sheetViews>
  <sheetFormatPr defaultColWidth="9.109375" defaultRowHeight="14.4" x14ac:dyDescent="0.3"/>
  <cols>
    <col min="1" max="1" width="7" customWidth="1"/>
    <col min="2" max="2" width="6.44140625" customWidth="1"/>
    <col min="3" max="3" width="7" customWidth="1"/>
    <col min="4" max="4" width="17" customWidth="1"/>
    <col min="5" max="5" width="26.109375" customWidth="1"/>
    <col min="6" max="6" width="34.88671875" customWidth="1"/>
    <col min="7" max="7" width="32.5546875" customWidth="1"/>
    <col min="8" max="8" width="20.88671875" customWidth="1"/>
    <col min="13" max="13" width="29.5546875" customWidth="1"/>
    <col min="14" max="14" width="31.33203125" customWidth="1"/>
    <col min="15" max="15" width="34.88671875" customWidth="1"/>
    <col min="16" max="16" width="21.44140625" customWidth="1"/>
    <col min="17" max="17" width="21.5546875" customWidth="1"/>
    <col min="18" max="18" width="20.109375" customWidth="1"/>
  </cols>
  <sheetData>
    <row r="1" spans="1:24" ht="87" thickBot="1" x14ac:dyDescent="0.35">
      <c r="A1" s="10"/>
      <c r="B1" s="10"/>
      <c r="C1" s="10"/>
      <c r="D1" s="52" t="s">
        <v>54</v>
      </c>
      <c r="E1" s="53" t="s">
        <v>0</v>
      </c>
      <c r="F1" s="54" t="s">
        <v>1</v>
      </c>
      <c r="G1" s="54" t="s">
        <v>2</v>
      </c>
      <c r="H1" s="54" t="s">
        <v>3</v>
      </c>
      <c r="I1" s="54" t="s">
        <v>4</v>
      </c>
      <c r="J1" s="54" t="s">
        <v>5</v>
      </c>
      <c r="K1" s="54" t="s">
        <v>6</v>
      </c>
      <c r="L1" s="54" t="s">
        <v>7</v>
      </c>
      <c r="M1" s="101" t="s">
        <v>8</v>
      </c>
      <c r="N1" s="102"/>
      <c r="O1" s="102"/>
      <c r="P1" s="102"/>
      <c r="Q1" s="102"/>
      <c r="R1" s="102"/>
      <c r="S1" s="102"/>
      <c r="T1" s="102"/>
      <c r="U1" s="103"/>
      <c r="V1" s="104" t="s">
        <v>7</v>
      </c>
      <c r="W1" s="104" t="s">
        <v>69</v>
      </c>
      <c r="X1" s="104" t="s">
        <v>70</v>
      </c>
    </row>
    <row r="2" spans="1:24" ht="15" thickBot="1" x14ac:dyDescent="0.35">
      <c r="A2" s="10"/>
      <c r="B2" s="10"/>
      <c r="C2" s="10"/>
      <c r="D2" s="50">
        <v>1</v>
      </c>
      <c r="E2" s="51">
        <v>2</v>
      </c>
      <c r="F2" s="51">
        <v>3</v>
      </c>
      <c r="G2" s="51">
        <v>4</v>
      </c>
      <c r="H2" s="51">
        <v>5</v>
      </c>
      <c r="I2" s="51">
        <v>6</v>
      </c>
      <c r="J2" s="51">
        <v>7</v>
      </c>
      <c r="K2" s="51">
        <v>8</v>
      </c>
      <c r="L2" s="51">
        <v>9</v>
      </c>
      <c r="M2" s="101" t="s">
        <v>9</v>
      </c>
      <c r="N2" s="102"/>
      <c r="O2" s="103"/>
      <c r="P2" s="101" t="s">
        <v>10</v>
      </c>
      <c r="Q2" s="102"/>
      <c r="R2" s="103"/>
      <c r="S2" s="107" t="s">
        <v>4</v>
      </c>
      <c r="T2" s="107" t="s">
        <v>5</v>
      </c>
      <c r="U2" s="107" t="s">
        <v>11</v>
      </c>
      <c r="V2" s="105"/>
      <c r="W2" s="105"/>
      <c r="X2" s="105"/>
    </row>
    <row r="3" spans="1:24" ht="43.8" thickBot="1" x14ac:dyDescent="0.35">
      <c r="A3" s="10"/>
      <c r="B3" s="10"/>
      <c r="C3" s="10"/>
      <c r="D3" s="55"/>
      <c r="E3" s="55"/>
      <c r="F3" s="55"/>
      <c r="G3" s="55"/>
      <c r="H3" s="55"/>
      <c r="I3" s="55"/>
      <c r="J3" s="55"/>
      <c r="K3" s="55"/>
      <c r="L3" s="56"/>
      <c r="M3" s="50" t="s">
        <v>12</v>
      </c>
      <c r="N3" s="51" t="s">
        <v>13</v>
      </c>
      <c r="O3" s="51" t="s">
        <v>14</v>
      </c>
      <c r="P3" s="51" t="s">
        <v>12</v>
      </c>
      <c r="Q3" s="51" t="s">
        <v>13</v>
      </c>
      <c r="R3" s="51" t="s">
        <v>14</v>
      </c>
      <c r="S3" s="108"/>
      <c r="T3" s="108"/>
      <c r="U3" s="108"/>
      <c r="V3" s="106"/>
      <c r="W3" s="106"/>
      <c r="X3" s="106"/>
    </row>
    <row r="4" spans="1:24" x14ac:dyDescent="0.3">
      <c r="A4" s="10" t="s">
        <v>34</v>
      </c>
      <c r="B4" s="10" t="s">
        <v>35</v>
      </c>
      <c r="C4" s="10" t="s">
        <v>55</v>
      </c>
      <c r="D4" s="57">
        <v>1</v>
      </c>
      <c r="E4" s="57">
        <v>2</v>
      </c>
      <c r="F4" s="57">
        <v>3</v>
      </c>
      <c r="G4" s="57">
        <v>4</v>
      </c>
      <c r="H4" s="57">
        <v>5</v>
      </c>
      <c r="I4" s="57">
        <v>6</v>
      </c>
      <c r="J4" s="57">
        <v>7</v>
      </c>
      <c r="K4" s="57">
        <v>8</v>
      </c>
      <c r="L4" s="58">
        <v>9</v>
      </c>
      <c r="M4" s="59" t="s">
        <v>15</v>
      </c>
      <c r="N4" s="60" t="s">
        <v>16</v>
      </c>
      <c r="O4" s="60" t="s">
        <v>17</v>
      </c>
      <c r="P4" s="60" t="s">
        <v>21</v>
      </c>
      <c r="Q4" s="60" t="s">
        <v>22</v>
      </c>
      <c r="R4" s="60" t="s">
        <v>23</v>
      </c>
      <c r="S4" s="61">
        <v>12</v>
      </c>
      <c r="T4" s="61">
        <v>13</v>
      </c>
      <c r="U4" s="61">
        <v>14</v>
      </c>
      <c r="V4" s="61">
        <v>15</v>
      </c>
      <c r="W4" s="61">
        <v>16</v>
      </c>
      <c r="X4" s="61">
        <v>17</v>
      </c>
    </row>
    <row r="5" spans="1:24" ht="93.6" x14ac:dyDescent="0.3">
      <c r="A5" s="10"/>
      <c r="B5" s="10"/>
      <c r="C5" s="10" t="str">
        <f>IF(AND(ISBLANK(M5),ISBLANK(N5),ISBLANK(O5)),"!","")</f>
        <v/>
      </c>
      <c r="D5" s="11" t="s">
        <v>24</v>
      </c>
      <c r="E5" s="78" t="s">
        <v>269</v>
      </c>
      <c r="F5" s="78" t="s">
        <v>270</v>
      </c>
      <c r="G5" s="26" t="s">
        <v>123</v>
      </c>
      <c r="H5" s="26" t="s">
        <v>125</v>
      </c>
      <c r="I5" s="12">
        <v>5</v>
      </c>
      <c r="J5" s="12">
        <v>3</v>
      </c>
      <c r="K5" s="13">
        <f t="shared" ref="K5:K11" si="0">I5*J5</f>
        <v>15</v>
      </c>
      <c r="L5" s="14" t="str">
        <f>IF(K5&gt;8, "Не доп.", "Доп.")</f>
        <v>Не доп.</v>
      </c>
      <c r="M5" s="1"/>
      <c r="N5" s="15" t="s">
        <v>275</v>
      </c>
      <c r="O5" s="24" t="s">
        <v>262</v>
      </c>
      <c r="P5" s="16"/>
      <c r="Q5" s="16" t="s">
        <v>255</v>
      </c>
      <c r="R5" s="16" t="s">
        <v>252</v>
      </c>
      <c r="S5" s="18">
        <v>0</v>
      </c>
      <c r="T5" s="18">
        <v>0</v>
      </c>
      <c r="U5" s="19">
        <f>S5*T5</f>
        <v>0</v>
      </c>
      <c r="V5" s="14" t="str">
        <f>IF(U5&gt;8, "Не доп.", "Доп.")</f>
        <v>Доп.</v>
      </c>
      <c r="W5" s="16"/>
      <c r="X5" s="16"/>
    </row>
    <row r="6" spans="1:24" s="6" customFormat="1" ht="93.6" x14ac:dyDescent="0.3">
      <c r="A6" s="83"/>
      <c r="B6" s="83"/>
      <c r="C6" s="83"/>
      <c r="D6" s="11" t="s">
        <v>24</v>
      </c>
      <c r="E6" s="78"/>
      <c r="F6" s="78" t="s">
        <v>272</v>
      </c>
      <c r="G6" s="26" t="s">
        <v>123</v>
      </c>
      <c r="H6" s="26" t="s">
        <v>273</v>
      </c>
      <c r="I6" s="12">
        <v>5</v>
      </c>
      <c r="J6" s="12">
        <v>2</v>
      </c>
      <c r="K6" s="13">
        <f t="shared" si="0"/>
        <v>10</v>
      </c>
      <c r="L6" s="14" t="str">
        <f>IF(K6&gt;8, "Не доп.", "Доп.")</f>
        <v>Не доп.</v>
      </c>
      <c r="M6" s="1"/>
      <c r="N6" s="15" t="s">
        <v>274</v>
      </c>
      <c r="O6" s="24" t="s">
        <v>262</v>
      </c>
      <c r="P6" s="16"/>
      <c r="Q6" s="16" t="s">
        <v>255</v>
      </c>
      <c r="R6" s="16" t="s">
        <v>252</v>
      </c>
      <c r="S6" s="18">
        <v>5</v>
      </c>
      <c r="T6" s="18">
        <v>1</v>
      </c>
      <c r="U6" s="19">
        <f>S6*T6</f>
        <v>5</v>
      </c>
      <c r="V6" s="14" t="str">
        <f>IF(U6&gt;8, "Не доп.", "Доп.")</f>
        <v>Доп.</v>
      </c>
      <c r="W6" s="16"/>
      <c r="X6" s="16"/>
    </row>
    <row r="7" spans="1:24" ht="93.6" x14ac:dyDescent="0.3">
      <c r="A7" s="10"/>
      <c r="B7" s="10"/>
      <c r="C7" s="10" t="str">
        <f t="shared" ref="C7:C16" si="1">IF(AND(ISBLANK(M7),ISBLANK(N7),ISBLANK(O7)),"!","")</f>
        <v/>
      </c>
      <c r="D7" s="11" t="s">
        <v>24</v>
      </c>
      <c r="E7" s="20" t="s">
        <v>271</v>
      </c>
      <c r="F7" s="20" t="s">
        <v>277</v>
      </c>
      <c r="G7" s="20" t="s">
        <v>278</v>
      </c>
      <c r="H7" s="20" t="s">
        <v>273</v>
      </c>
      <c r="I7" s="21">
        <v>5</v>
      </c>
      <c r="J7" s="21">
        <v>2</v>
      </c>
      <c r="K7" s="22">
        <f t="shared" si="0"/>
        <v>10</v>
      </c>
      <c r="L7" s="14" t="str">
        <f t="shared" ref="L7:L16" si="2">IF(K7&gt;8, "Не доп.", "Доп.")</f>
        <v>Не доп.</v>
      </c>
      <c r="M7" s="23"/>
      <c r="N7" s="15" t="s">
        <v>279</v>
      </c>
      <c r="O7" s="24" t="s">
        <v>262</v>
      </c>
      <c r="P7" s="17"/>
      <c r="Q7" s="16" t="s">
        <v>255</v>
      </c>
      <c r="R7" s="16" t="s">
        <v>252</v>
      </c>
      <c r="S7" s="18">
        <v>5</v>
      </c>
      <c r="T7" s="18">
        <v>1</v>
      </c>
      <c r="U7" s="19">
        <f t="shared" ref="U7:U16" si="3">S7*T7</f>
        <v>5</v>
      </c>
      <c r="V7" s="14" t="str">
        <f t="shared" ref="V7:V16" si="4">IF(U7&gt;8, "Не доп.", "Доп.")</f>
        <v>Доп.</v>
      </c>
      <c r="W7" s="16"/>
      <c r="X7" s="16"/>
    </row>
    <row r="8" spans="1:24" ht="93.6" x14ac:dyDescent="0.3">
      <c r="A8" s="10"/>
      <c r="B8" s="10"/>
      <c r="C8" s="10" t="str">
        <f t="shared" ref="C8" si="5">IF(AND(ISBLANK(M8),ISBLANK(N8),ISBLANK(O8)),"!","")</f>
        <v/>
      </c>
      <c r="D8" s="11" t="s">
        <v>24</v>
      </c>
      <c r="E8" s="20"/>
      <c r="F8" s="20" t="s">
        <v>367</v>
      </c>
      <c r="G8" s="20" t="s">
        <v>369</v>
      </c>
      <c r="H8" s="20" t="s">
        <v>273</v>
      </c>
      <c r="I8" s="21">
        <v>5</v>
      </c>
      <c r="J8" s="21">
        <v>2</v>
      </c>
      <c r="K8" s="22">
        <f t="shared" si="0"/>
        <v>10</v>
      </c>
      <c r="L8" s="14" t="str">
        <f t="shared" ref="L8" si="6">IF(K8&gt;8, "Не доп.", "Доп.")</f>
        <v>Не доп.</v>
      </c>
      <c r="M8" s="23"/>
      <c r="N8" s="15" t="s">
        <v>370</v>
      </c>
      <c r="O8" s="24" t="s">
        <v>262</v>
      </c>
      <c r="P8" s="17"/>
      <c r="Q8" s="16" t="s">
        <v>255</v>
      </c>
      <c r="R8" s="16" t="s">
        <v>252</v>
      </c>
      <c r="S8" s="18">
        <v>5</v>
      </c>
      <c r="T8" s="18">
        <v>1</v>
      </c>
      <c r="U8" s="19">
        <f t="shared" ref="U8" si="7">S8*T8</f>
        <v>5</v>
      </c>
      <c r="V8" s="14" t="str">
        <f t="shared" ref="V8" si="8">IF(U8&gt;8, "Не доп.", "Доп.")</f>
        <v>Доп.</v>
      </c>
      <c r="W8" s="16"/>
      <c r="X8" s="16"/>
    </row>
    <row r="9" spans="1:24" ht="93.6" x14ac:dyDescent="0.3">
      <c r="A9" s="10"/>
      <c r="B9" s="10"/>
      <c r="C9" s="10"/>
      <c r="D9" s="11"/>
      <c r="E9" s="20"/>
      <c r="F9" s="20" t="s">
        <v>371</v>
      </c>
      <c r="G9" s="1" t="s">
        <v>117</v>
      </c>
      <c r="H9" s="20" t="s">
        <v>393</v>
      </c>
      <c r="I9" s="21">
        <v>5</v>
      </c>
      <c r="J9" s="21">
        <v>3</v>
      </c>
      <c r="K9" s="22">
        <f t="shared" si="0"/>
        <v>15</v>
      </c>
      <c r="L9" s="14" t="str">
        <f t="shared" ref="L9" si="9">IF(K9&gt;8, "Не доп.", "Доп.")</f>
        <v>Не доп.</v>
      </c>
      <c r="M9" s="23"/>
      <c r="N9" s="15" t="s">
        <v>372</v>
      </c>
      <c r="O9" s="24" t="s">
        <v>262</v>
      </c>
      <c r="P9" s="17"/>
      <c r="Q9" s="16" t="s">
        <v>255</v>
      </c>
      <c r="R9" s="16" t="s">
        <v>252</v>
      </c>
      <c r="S9" s="18">
        <v>5</v>
      </c>
      <c r="T9" s="18">
        <v>1</v>
      </c>
      <c r="U9" s="19">
        <f t="shared" ref="U9" si="10">S9*T9</f>
        <v>5</v>
      </c>
      <c r="V9" s="14" t="str">
        <f t="shared" ref="V9" si="11">IF(U9&gt;8, "Не доп.", "Доп.")</f>
        <v>Доп.</v>
      </c>
      <c r="W9" s="16"/>
      <c r="X9" s="16"/>
    </row>
    <row r="10" spans="1:24" ht="46.8" x14ac:dyDescent="0.3">
      <c r="A10" s="10"/>
      <c r="B10" s="10"/>
      <c r="C10" s="10"/>
      <c r="D10" s="11"/>
      <c r="E10" s="20"/>
      <c r="F10" s="20" t="s">
        <v>378</v>
      </c>
      <c r="G10" s="1" t="s">
        <v>376</v>
      </c>
      <c r="H10" s="20" t="s">
        <v>377</v>
      </c>
      <c r="I10" s="21">
        <v>4</v>
      </c>
      <c r="J10" s="21">
        <v>3</v>
      </c>
      <c r="K10" s="22">
        <f t="shared" si="0"/>
        <v>12</v>
      </c>
      <c r="L10" s="14" t="str">
        <f t="shared" ref="L10" si="12">IF(K10&gt;8, "Не доп.", "Доп.")</f>
        <v>Не доп.</v>
      </c>
      <c r="M10" s="23"/>
      <c r="N10" s="15" t="s">
        <v>379</v>
      </c>
      <c r="O10" s="24"/>
      <c r="P10" s="17"/>
      <c r="Q10" s="16" t="s">
        <v>255</v>
      </c>
      <c r="R10" s="16" t="s">
        <v>252</v>
      </c>
      <c r="S10" s="18">
        <v>4</v>
      </c>
      <c r="T10" s="18">
        <v>1</v>
      </c>
      <c r="U10" s="19">
        <f t="shared" ref="U10" si="13">S10*T10</f>
        <v>4</v>
      </c>
      <c r="V10" s="14" t="str">
        <f t="shared" ref="V10" si="14">IF(U10&gt;8, "Не доп.", "Доп.")</f>
        <v>Доп.</v>
      </c>
      <c r="W10" s="16"/>
      <c r="X10" s="16"/>
    </row>
    <row r="11" spans="1:24" ht="93.6" x14ac:dyDescent="0.3">
      <c r="A11" s="10"/>
      <c r="B11" s="10"/>
      <c r="C11" s="10" t="str">
        <f t="shared" si="1"/>
        <v/>
      </c>
      <c r="D11" s="11" t="s">
        <v>24</v>
      </c>
      <c r="E11" s="26" t="s">
        <v>276</v>
      </c>
      <c r="F11" s="26" t="s">
        <v>281</v>
      </c>
      <c r="G11" s="26" t="s">
        <v>280</v>
      </c>
      <c r="H11" s="20" t="s">
        <v>302</v>
      </c>
      <c r="I11" s="21">
        <v>5</v>
      </c>
      <c r="J11" s="21">
        <v>2</v>
      </c>
      <c r="K11" s="27">
        <f t="shared" si="0"/>
        <v>10</v>
      </c>
      <c r="L11" s="14" t="str">
        <f t="shared" si="2"/>
        <v>Не доп.</v>
      </c>
      <c r="M11" s="44"/>
      <c r="N11" s="15" t="s">
        <v>292</v>
      </c>
      <c r="O11" s="24" t="s">
        <v>262</v>
      </c>
      <c r="P11" s="16"/>
      <c r="Q11" s="16" t="s">
        <v>255</v>
      </c>
      <c r="R11" s="16" t="s">
        <v>252</v>
      </c>
      <c r="S11" s="18">
        <v>5</v>
      </c>
      <c r="T11" s="18">
        <v>1</v>
      </c>
      <c r="U11" s="19">
        <f t="shared" si="3"/>
        <v>5</v>
      </c>
      <c r="V11" s="14" t="str">
        <f t="shared" si="4"/>
        <v>Доп.</v>
      </c>
      <c r="W11" s="16"/>
      <c r="X11" s="16"/>
    </row>
    <row r="12" spans="1:24" ht="93.6" x14ac:dyDescent="0.3">
      <c r="A12" s="10"/>
      <c r="B12" s="10"/>
      <c r="C12" s="10"/>
      <c r="D12" s="11" t="s">
        <v>24</v>
      </c>
      <c r="E12" s="26"/>
      <c r="F12" s="26" t="s">
        <v>282</v>
      </c>
      <c r="G12" s="26" t="s">
        <v>305</v>
      </c>
      <c r="H12" s="20" t="s">
        <v>273</v>
      </c>
      <c r="I12" s="21">
        <v>5</v>
      </c>
      <c r="J12" s="21">
        <v>2</v>
      </c>
      <c r="K12" s="27">
        <f t="shared" ref="K12:K14" si="15">I12*J12</f>
        <v>10</v>
      </c>
      <c r="L12" s="14" t="str">
        <f t="shared" ref="L12:L14" si="16">IF(K12&gt;8, "Не доп.", "Доп.")</f>
        <v>Не доп.</v>
      </c>
      <c r="M12" s="44"/>
      <c r="N12" s="15" t="s">
        <v>291</v>
      </c>
      <c r="O12" s="24" t="s">
        <v>262</v>
      </c>
      <c r="P12" s="16"/>
      <c r="Q12" s="16" t="s">
        <v>255</v>
      </c>
      <c r="R12" s="16" t="s">
        <v>252</v>
      </c>
      <c r="S12" s="18">
        <v>5</v>
      </c>
      <c r="T12" s="18">
        <v>1</v>
      </c>
      <c r="U12" s="19">
        <f t="shared" ref="U12:U14" si="17">S12*T12</f>
        <v>5</v>
      </c>
      <c r="V12" s="14" t="str">
        <f t="shared" ref="V12:V14" si="18">IF(U12&gt;8, "Не доп.", "Доп.")</f>
        <v>Доп.</v>
      </c>
      <c r="W12" s="16"/>
      <c r="X12" s="16"/>
    </row>
    <row r="13" spans="1:24" ht="140.4" x14ac:dyDescent="0.3">
      <c r="A13" s="10"/>
      <c r="B13" s="10"/>
      <c r="C13" s="10"/>
      <c r="D13" s="11" t="s">
        <v>24</v>
      </c>
      <c r="E13" s="26"/>
      <c r="F13" s="26" t="s">
        <v>357</v>
      </c>
      <c r="G13" s="26" t="s">
        <v>358</v>
      </c>
      <c r="H13" s="20" t="s">
        <v>359</v>
      </c>
      <c r="I13" s="21">
        <v>5</v>
      </c>
      <c r="J13" s="21">
        <v>2</v>
      </c>
      <c r="K13" s="27">
        <f t="shared" si="15"/>
        <v>10</v>
      </c>
      <c r="L13" s="14" t="str">
        <f t="shared" si="16"/>
        <v>Не доп.</v>
      </c>
      <c r="M13" s="44"/>
      <c r="N13" s="15" t="s">
        <v>360</v>
      </c>
      <c r="O13" s="24" t="s">
        <v>361</v>
      </c>
      <c r="P13" s="17"/>
      <c r="Q13" s="16" t="s">
        <v>255</v>
      </c>
      <c r="R13" s="16" t="s">
        <v>252</v>
      </c>
      <c r="S13" s="18">
        <v>5</v>
      </c>
      <c r="T13" s="18">
        <v>1</v>
      </c>
      <c r="U13" s="19">
        <f t="shared" si="17"/>
        <v>5</v>
      </c>
      <c r="V13" s="14" t="str">
        <f t="shared" si="18"/>
        <v>Доп.</v>
      </c>
      <c r="W13" s="16"/>
      <c r="X13" s="16"/>
    </row>
    <row r="14" spans="1:24" ht="93.6" x14ac:dyDescent="0.3">
      <c r="A14" s="10"/>
      <c r="B14" s="10"/>
      <c r="C14" s="10"/>
      <c r="D14" s="11" t="s">
        <v>24</v>
      </c>
      <c r="E14" s="26"/>
      <c r="F14" s="26" t="s">
        <v>362</v>
      </c>
      <c r="G14" s="26" t="s">
        <v>363</v>
      </c>
      <c r="H14" s="20" t="s">
        <v>312</v>
      </c>
      <c r="I14" s="21">
        <v>5</v>
      </c>
      <c r="J14" s="21">
        <v>2</v>
      </c>
      <c r="K14" s="27">
        <f t="shared" si="15"/>
        <v>10</v>
      </c>
      <c r="L14" s="14" t="str">
        <f t="shared" si="16"/>
        <v>Не доп.</v>
      </c>
      <c r="M14" s="44"/>
      <c r="N14" s="15" t="s">
        <v>364</v>
      </c>
      <c r="O14" s="24" t="s">
        <v>262</v>
      </c>
      <c r="P14" s="17"/>
      <c r="Q14" s="16"/>
      <c r="R14" s="17"/>
      <c r="S14" s="18">
        <v>5</v>
      </c>
      <c r="T14" s="18">
        <v>1</v>
      </c>
      <c r="U14" s="19">
        <f t="shared" si="17"/>
        <v>5</v>
      </c>
      <c r="V14" s="14" t="str">
        <f t="shared" si="18"/>
        <v>Доп.</v>
      </c>
      <c r="W14" s="16"/>
      <c r="X14" s="16"/>
    </row>
    <row r="15" spans="1:24" s="6" customFormat="1" ht="62.4" x14ac:dyDescent="0.3">
      <c r="A15" s="83"/>
      <c r="B15" s="83"/>
      <c r="C15" s="83"/>
      <c r="D15" s="11" t="s">
        <v>24</v>
      </c>
      <c r="E15" s="78" t="s">
        <v>268</v>
      </c>
      <c r="F15" s="26" t="s">
        <v>365</v>
      </c>
      <c r="G15" s="26" t="s">
        <v>366</v>
      </c>
      <c r="H15" s="20" t="s">
        <v>312</v>
      </c>
      <c r="I15" s="21">
        <v>5</v>
      </c>
      <c r="J15" s="21">
        <v>2</v>
      </c>
      <c r="K15" s="22">
        <f t="shared" ref="K15:K20" si="19">I15*J15</f>
        <v>10</v>
      </c>
      <c r="L15" s="14" t="str">
        <f t="shared" si="2"/>
        <v>Не доп.</v>
      </c>
      <c r="M15" s="80"/>
      <c r="N15" s="26" t="s">
        <v>368</v>
      </c>
      <c r="O15" s="24"/>
      <c r="P15" s="17"/>
      <c r="Q15" s="16" t="s">
        <v>255</v>
      </c>
      <c r="R15" s="17"/>
      <c r="S15" s="18">
        <v>5</v>
      </c>
      <c r="T15" s="18">
        <v>1</v>
      </c>
      <c r="U15" s="19">
        <f t="shared" si="3"/>
        <v>5</v>
      </c>
      <c r="V15" s="14" t="str">
        <f t="shared" si="4"/>
        <v>Доп.</v>
      </c>
      <c r="W15" s="16"/>
      <c r="X15" s="16"/>
    </row>
    <row r="16" spans="1:24" ht="93.6" x14ac:dyDescent="0.3">
      <c r="A16" s="10"/>
      <c r="B16" s="10"/>
      <c r="C16" s="10" t="str">
        <f t="shared" si="1"/>
        <v/>
      </c>
      <c r="D16" s="11" t="s">
        <v>24</v>
      </c>
      <c r="E16" s="78"/>
      <c r="F16" s="87" t="s">
        <v>283</v>
      </c>
      <c r="G16" s="26" t="s">
        <v>284</v>
      </c>
      <c r="H16" s="26" t="s">
        <v>285</v>
      </c>
      <c r="I16" s="12">
        <v>5</v>
      </c>
      <c r="J16" s="12">
        <v>2</v>
      </c>
      <c r="K16" s="22">
        <f t="shared" si="19"/>
        <v>10</v>
      </c>
      <c r="L16" s="14" t="str">
        <f t="shared" si="2"/>
        <v>Не доп.</v>
      </c>
      <c r="M16" s="80"/>
      <c r="N16" s="15" t="s">
        <v>293</v>
      </c>
      <c r="O16" s="24" t="s">
        <v>262</v>
      </c>
      <c r="P16" s="17"/>
      <c r="Q16" s="16"/>
      <c r="R16" s="17"/>
      <c r="S16" s="18">
        <v>5</v>
      </c>
      <c r="T16" s="18">
        <v>1</v>
      </c>
      <c r="U16" s="19">
        <f t="shared" si="3"/>
        <v>5</v>
      </c>
      <c r="V16" s="14" t="str">
        <f t="shared" si="4"/>
        <v>Доп.</v>
      </c>
      <c r="W16" s="16"/>
      <c r="X16" s="16"/>
    </row>
    <row r="17" spans="1:24" ht="62.4" x14ac:dyDescent="0.3">
      <c r="A17" s="10"/>
      <c r="B17" s="10"/>
      <c r="C17" s="10" t="str">
        <f t="shared" ref="C17" si="20">IF(AND(ISBLANK(M17),ISBLANK(N17),ISBLANK(O17)),"!","")</f>
        <v/>
      </c>
      <c r="D17" s="11" t="s">
        <v>24</v>
      </c>
      <c r="E17" s="78"/>
      <c r="F17" s="87" t="s">
        <v>286</v>
      </c>
      <c r="G17" s="26" t="s">
        <v>287</v>
      </c>
      <c r="H17" s="26" t="s">
        <v>285</v>
      </c>
      <c r="I17" s="12">
        <v>5</v>
      </c>
      <c r="J17" s="12">
        <v>3</v>
      </c>
      <c r="K17" s="22">
        <f t="shared" si="19"/>
        <v>15</v>
      </c>
      <c r="L17" s="14" t="str">
        <f t="shared" ref="L17" si="21">IF(K17&gt;8, "Не доп.", "Доп.")</f>
        <v>Не доп.</v>
      </c>
      <c r="M17" s="80"/>
      <c r="N17" s="15" t="s">
        <v>288</v>
      </c>
      <c r="O17" s="24"/>
      <c r="P17" s="17"/>
      <c r="Q17" s="16"/>
      <c r="R17" s="17"/>
      <c r="S17" s="18">
        <v>5</v>
      </c>
      <c r="T17" s="18">
        <v>1</v>
      </c>
      <c r="U17" s="19">
        <f t="shared" ref="U17" si="22">S17*T17</f>
        <v>5</v>
      </c>
      <c r="V17" s="14" t="str">
        <f t="shared" ref="V17" si="23">IF(U17&gt;8, "Не доп.", "Доп.")</f>
        <v>Доп.</v>
      </c>
      <c r="W17" s="16"/>
      <c r="X17" s="16"/>
    </row>
    <row r="18" spans="1:24" ht="62.4" x14ac:dyDescent="0.3">
      <c r="A18" s="10"/>
      <c r="B18" s="10"/>
      <c r="C18" s="10" t="str">
        <f t="shared" ref="C18:C25" si="24">IF(AND(ISBLANK(M18),ISBLANK(N18),ISBLANK(O18)),"!","")</f>
        <v/>
      </c>
      <c r="D18" s="11" t="s">
        <v>24</v>
      </c>
      <c r="E18" s="78"/>
      <c r="F18" s="87" t="s">
        <v>289</v>
      </c>
      <c r="G18" s="26" t="s">
        <v>287</v>
      </c>
      <c r="H18" s="26" t="s">
        <v>285</v>
      </c>
      <c r="I18" s="12">
        <v>5</v>
      </c>
      <c r="J18" s="12">
        <v>3</v>
      </c>
      <c r="K18" s="22">
        <f t="shared" si="19"/>
        <v>15</v>
      </c>
      <c r="L18" s="14" t="str">
        <f t="shared" ref="L18:L25" si="25">IF(K18&gt;8, "Не доп.", "Доп.")</f>
        <v>Не доп.</v>
      </c>
      <c r="M18" s="80"/>
      <c r="N18" s="15" t="s">
        <v>290</v>
      </c>
      <c r="O18" s="24"/>
      <c r="P18" s="17"/>
      <c r="Q18" s="16"/>
      <c r="R18" s="17"/>
      <c r="S18" s="18">
        <v>5</v>
      </c>
      <c r="T18" s="18">
        <v>1</v>
      </c>
      <c r="U18" s="19">
        <f t="shared" ref="U18:U25" si="26">S18*T18</f>
        <v>5</v>
      </c>
      <c r="V18" s="14" t="str">
        <f t="shared" ref="V18:V25" si="27">IF(U18&gt;8, "Не доп.", "Доп.")</f>
        <v>Доп.</v>
      </c>
      <c r="W18" s="16"/>
      <c r="X18" s="16"/>
    </row>
    <row r="19" spans="1:24" ht="62.4" x14ac:dyDescent="0.3">
      <c r="A19" s="10"/>
      <c r="B19" s="10"/>
      <c r="C19" s="10" t="str">
        <f t="shared" si="24"/>
        <v/>
      </c>
      <c r="D19" s="11" t="s">
        <v>24</v>
      </c>
      <c r="E19" s="78"/>
      <c r="F19" s="87" t="s">
        <v>294</v>
      </c>
      <c r="G19" s="26" t="s">
        <v>295</v>
      </c>
      <c r="H19" s="26" t="s">
        <v>285</v>
      </c>
      <c r="I19" s="12">
        <v>5</v>
      </c>
      <c r="J19" s="12">
        <v>4</v>
      </c>
      <c r="K19" s="22">
        <f t="shared" si="19"/>
        <v>20</v>
      </c>
      <c r="L19" s="14" t="str">
        <f t="shared" si="25"/>
        <v>Не доп.</v>
      </c>
      <c r="M19" s="80"/>
      <c r="N19" s="15" t="s">
        <v>296</v>
      </c>
      <c r="O19" s="24"/>
      <c r="P19" s="17"/>
      <c r="Q19" s="16"/>
      <c r="R19" s="17"/>
      <c r="S19" s="18">
        <v>3</v>
      </c>
      <c r="T19" s="18">
        <v>1</v>
      </c>
      <c r="U19" s="19">
        <f t="shared" si="26"/>
        <v>3</v>
      </c>
      <c r="V19" s="14" t="str">
        <f t="shared" si="27"/>
        <v>Доп.</v>
      </c>
      <c r="W19" s="16"/>
      <c r="X19" s="16"/>
    </row>
    <row r="20" spans="1:24" ht="109.2" x14ac:dyDescent="0.3">
      <c r="A20" s="10"/>
      <c r="B20" s="10"/>
      <c r="C20" s="10" t="str">
        <f t="shared" si="24"/>
        <v/>
      </c>
      <c r="D20" s="11" t="s">
        <v>24</v>
      </c>
      <c r="E20" s="78"/>
      <c r="F20" s="26" t="s">
        <v>373</v>
      </c>
      <c r="G20" s="26" t="s">
        <v>375</v>
      </c>
      <c r="H20" s="26" t="s">
        <v>285</v>
      </c>
      <c r="I20" s="12">
        <v>5</v>
      </c>
      <c r="J20" s="12">
        <v>3</v>
      </c>
      <c r="K20" s="22">
        <f t="shared" si="19"/>
        <v>15</v>
      </c>
      <c r="L20" s="14" t="str">
        <f t="shared" ref="L20" si="28">IF(K20&gt;8, "Не доп.", "Доп.")</f>
        <v>Не доп.</v>
      </c>
      <c r="M20" s="80"/>
      <c r="N20" s="15" t="s">
        <v>374</v>
      </c>
      <c r="O20" s="24" t="s">
        <v>262</v>
      </c>
      <c r="P20" s="17"/>
      <c r="Q20" s="16"/>
      <c r="R20" s="17"/>
      <c r="S20" s="18">
        <v>5</v>
      </c>
      <c r="T20" s="18">
        <v>1</v>
      </c>
      <c r="U20" s="19">
        <f t="shared" ref="U20" si="29">S20*T20</f>
        <v>5</v>
      </c>
      <c r="V20" s="14" t="str">
        <f t="shared" ref="V20" si="30">IF(U20&gt;8, "Не доп.", "Доп.")</f>
        <v>Доп.</v>
      </c>
      <c r="W20" s="16"/>
      <c r="X20" s="16"/>
    </row>
    <row r="21" spans="1:24" ht="93.6" x14ac:dyDescent="0.3">
      <c r="A21" s="10"/>
      <c r="B21" s="10"/>
      <c r="C21" s="10"/>
      <c r="D21" s="11" t="s">
        <v>24</v>
      </c>
      <c r="E21" s="78"/>
      <c r="F21" s="26" t="s">
        <v>382</v>
      </c>
      <c r="G21" s="26" t="s">
        <v>216</v>
      </c>
      <c r="H21" s="26" t="s">
        <v>394</v>
      </c>
      <c r="I21" s="12">
        <v>5</v>
      </c>
      <c r="J21" s="12">
        <v>2</v>
      </c>
      <c r="K21" s="22">
        <f t="shared" ref="K21:K23" si="31">I21*J21</f>
        <v>10</v>
      </c>
      <c r="L21" s="14" t="str">
        <f t="shared" ref="L21:L23" si="32">IF(K21&gt;8, "Не доп.", "Доп.")</f>
        <v>Не доп.</v>
      </c>
      <c r="M21" s="44"/>
      <c r="N21" s="15" t="s">
        <v>389</v>
      </c>
      <c r="O21" s="24"/>
      <c r="P21" s="17"/>
      <c r="Q21" s="16"/>
      <c r="R21" s="17"/>
      <c r="S21" s="18">
        <v>5</v>
      </c>
      <c r="T21" s="18">
        <v>1</v>
      </c>
      <c r="U21" s="19">
        <f t="shared" ref="U21:U24" si="33">S21*T21</f>
        <v>5</v>
      </c>
      <c r="V21" s="14" t="str">
        <f t="shared" ref="V21:V24" si="34">IF(U21&gt;8, "Не доп.", "Доп.")</f>
        <v>Доп.</v>
      </c>
      <c r="W21" s="16"/>
      <c r="X21" s="16"/>
    </row>
    <row r="22" spans="1:24" ht="109.2" x14ac:dyDescent="0.3">
      <c r="A22" s="10"/>
      <c r="B22" s="10"/>
      <c r="C22" s="10"/>
      <c r="D22" s="11" t="s">
        <v>24</v>
      </c>
      <c r="E22" s="78"/>
      <c r="F22" s="26" t="s">
        <v>383</v>
      </c>
      <c r="G22" s="26" t="s">
        <v>123</v>
      </c>
      <c r="H22" s="26" t="s">
        <v>125</v>
      </c>
      <c r="I22" s="12">
        <v>5</v>
      </c>
      <c r="J22" s="12">
        <v>4</v>
      </c>
      <c r="K22" s="22">
        <f t="shared" si="31"/>
        <v>20</v>
      </c>
      <c r="L22" s="14" t="str">
        <f t="shared" si="32"/>
        <v>Не доп.</v>
      </c>
      <c r="M22" s="44"/>
      <c r="N22" s="15" t="s">
        <v>388</v>
      </c>
      <c r="O22" s="24" t="s">
        <v>262</v>
      </c>
      <c r="P22" s="17"/>
      <c r="Q22" s="16"/>
      <c r="R22" s="17"/>
      <c r="S22" s="18">
        <v>5</v>
      </c>
      <c r="T22" s="18">
        <v>1</v>
      </c>
      <c r="U22" s="19">
        <f t="shared" si="33"/>
        <v>5</v>
      </c>
      <c r="V22" s="14" t="str">
        <f t="shared" si="34"/>
        <v>Доп.</v>
      </c>
      <c r="W22" s="16"/>
      <c r="X22" s="16"/>
    </row>
    <row r="23" spans="1:24" ht="62.4" x14ac:dyDescent="0.3">
      <c r="A23" s="10"/>
      <c r="B23" s="10"/>
      <c r="C23" s="10"/>
      <c r="D23" s="11" t="s">
        <v>24</v>
      </c>
      <c r="E23" s="78"/>
      <c r="F23" s="26" t="s">
        <v>381</v>
      </c>
      <c r="G23" s="26" t="s">
        <v>386</v>
      </c>
      <c r="H23" s="26" t="s">
        <v>125</v>
      </c>
      <c r="I23" s="12">
        <v>5</v>
      </c>
      <c r="J23" s="12">
        <v>4</v>
      </c>
      <c r="K23" s="22">
        <f t="shared" si="31"/>
        <v>20</v>
      </c>
      <c r="L23" s="14" t="str">
        <f t="shared" si="32"/>
        <v>Не доп.</v>
      </c>
      <c r="M23" s="44" t="s">
        <v>385</v>
      </c>
      <c r="N23" s="15" t="s">
        <v>384</v>
      </c>
      <c r="O23" s="24" t="s">
        <v>387</v>
      </c>
      <c r="P23" s="17"/>
      <c r="Q23" s="16"/>
      <c r="R23" s="17"/>
      <c r="S23" s="18">
        <v>5</v>
      </c>
      <c r="T23" s="18">
        <v>1</v>
      </c>
      <c r="U23" s="19">
        <f t="shared" si="33"/>
        <v>5</v>
      </c>
      <c r="V23" s="14" t="str">
        <f t="shared" si="34"/>
        <v>Доп.</v>
      </c>
      <c r="W23" s="16"/>
      <c r="X23" s="16"/>
    </row>
    <row r="24" spans="1:24" ht="62.4" x14ac:dyDescent="0.3">
      <c r="A24" s="10"/>
      <c r="B24" s="10"/>
      <c r="C24" s="10"/>
      <c r="D24" s="11"/>
      <c r="E24" s="78"/>
      <c r="F24" s="26" t="s">
        <v>390</v>
      </c>
      <c r="G24" s="26" t="s">
        <v>123</v>
      </c>
      <c r="H24" s="26" t="s">
        <v>125</v>
      </c>
      <c r="I24" s="12">
        <v>5</v>
      </c>
      <c r="J24" s="12">
        <v>4</v>
      </c>
      <c r="K24" s="22">
        <f t="shared" ref="K24" si="35">I24*J24</f>
        <v>20</v>
      </c>
      <c r="L24" s="14" t="str">
        <f t="shared" ref="L24" si="36">IF(K24&gt;8, "Не доп.", "Доп.")</f>
        <v>Не доп.</v>
      </c>
      <c r="M24" s="44" t="s">
        <v>391</v>
      </c>
      <c r="N24" s="15" t="s">
        <v>319</v>
      </c>
      <c r="O24" s="24"/>
      <c r="P24" s="17"/>
      <c r="Q24" s="16"/>
      <c r="R24" s="17"/>
      <c r="S24" s="18">
        <v>5</v>
      </c>
      <c r="T24" s="18">
        <v>1</v>
      </c>
      <c r="U24" s="19">
        <f t="shared" si="33"/>
        <v>5</v>
      </c>
      <c r="V24" s="14" t="str">
        <f t="shared" si="34"/>
        <v>Доп.</v>
      </c>
      <c r="W24" s="16"/>
      <c r="X24" s="16"/>
    </row>
    <row r="25" spans="1:24" ht="124.8" x14ac:dyDescent="0.3">
      <c r="A25" s="10"/>
      <c r="B25" s="10"/>
      <c r="C25" s="10" t="str">
        <f t="shared" si="24"/>
        <v/>
      </c>
      <c r="D25" s="11" t="s">
        <v>24</v>
      </c>
      <c r="E25" s="78" t="s">
        <v>297</v>
      </c>
      <c r="F25" s="87" t="s">
        <v>298</v>
      </c>
      <c r="G25" s="26" t="s">
        <v>303</v>
      </c>
      <c r="H25" s="20" t="s">
        <v>307</v>
      </c>
      <c r="I25" s="12">
        <v>4</v>
      </c>
      <c r="J25" s="12">
        <v>3</v>
      </c>
      <c r="K25" s="22">
        <f t="shared" ref="K25:K38" si="37">I25*J25</f>
        <v>12</v>
      </c>
      <c r="L25" s="14" t="str">
        <f t="shared" si="25"/>
        <v>Не доп.</v>
      </c>
      <c r="M25" s="44"/>
      <c r="N25" s="15" t="s">
        <v>308</v>
      </c>
      <c r="O25" s="24"/>
      <c r="P25" s="17"/>
      <c r="Q25" s="16"/>
      <c r="R25" s="17"/>
      <c r="S25" s="18">
        <v>4</v>
      </c>
      <c r="T25" s="18">
        <v>1</v>
      </c>
      <c r="U25" s="19">
        <f t="shared" si="26"/>
        <v>4</v>
      </c>
      <c r="V25" s="14" t="str">
        <f t="shared" si="27"/>
        <v>Доп.</v>
      </c>
      <c r="W25" s="16"/>
      <c r="X25" s="16"/>
    </row>
    <row r="26" spans="1:24" ht="109.2" x14ac:dyDescent="0.3">
      <c r="A26" s="10"/>
      <c r="B26" s="10"/>
      <c r="C26" s="10" t="str">
        <f t="shared" ref="C26" si="38">IF(AND(ISBLANK(M26),ISBLANK(N26),ISBLANK(O26)),"!","")</f>
        <v/>
      </c>
      <c r="D26" s="11" t="s">
        <v>24</v>
      </c>
      <c r="E26" s="78"/>
      <c r="F26" s="87" t="s">
        <v>299</v>
      </c>
      <c r="G26" s="26" t="s">
        <v>300</v>
      </c>
      <c r="H26" s="26" t="s">
        <v>301</v>
      </c>
      <c r="I26" s="12">
        <v>4</v>
      </c>
      <c r="J26" s="12">
        <v>2</v>
      </c>
      <c r="K26" s="22">
        <f t="shared" si="37"/>
        <v>8</v>
      </c>
      <c r="L26" s="14" t="str">
        <f t="shared" ref="L26" si="39">IF(K26&gt;8, "Не доп.", "Доп.")</f>
        <v>Доп.</v>
      </c>
      <c r="M26" s="80"/>
      <c r="N26" s="15" t="s">
        <v>306</v>
      </c>
      <c r="O26" s="24"/>
      <c r="P26" s="17"/>
      <c r="Q26" s="16"/>
      <c r="R26" s="17"/>
      <c r="S26" s="18">
        <v>4</v>
      </c>
      <c r="T26" s="18">
        <v>1</v>
      </c>
      <c r="U26" s="19">
        <f t="shared" ref="U26" si="40">S26*T26</f>
        <v>4</v>
      </c>
      <c r="V26" s="14" t="str">
        <f t="shared" ref="V26" si="41">IF(U26&gt;8, "Не доп.", "Доп.")</f>
        <v>Доп.</v>
      </c>
      <c r="W26" s="16"/>
      <c r="X26" s="16"/>
    </row>
    <row r="27" spans="1:24" ht="46.8" x14ac:dyDescent="0.3">
      <c r="A27" s="10"/>
      <c r="B27" s="10"/>
      <c r="C27" s="10" t="str">
        <f t="shared" ref="C27" si="42">IF(AND(ISBLANK(M27),ISBLANK(N27),ISBLANK(O27)),"!","")</f>
        <v/>
      </c>
      <c r="D27" s="11" t="s">
        <v>24</v>
      </c>
      <c r="E27" s="78"/>
      <c r="F27" s="87" t="s">
        <v>313</v>
      </c>
      <c r="G27" s="78" t="s">
        <v>311</v>
      </c>
      <c r="H27" s="26" t="s">
        <v>312</v>
      </c>
      <c r="I27" s="12">
        <v>5</v>
      </c>
      <c r="J27" s="12">
        <v>3</v>
      </c>
      <c r="K27" s="22">
        <f t="shared" si="37"/>
        <v>15</v>
      </c>
      <c r="L27" s="14" t="str">
        <f t="shared" ref="L27" si="43">IF(K27&gt;8, "Не доп.", "Доп.")</f>
        <v>Не доп.</v>
      </c>
      <c r="M27" s="80"/>
      <c r="N27" s="15" t="s">
        <v>314</v>
      </c>
      <c r="O27" s="24"/>
      <c r="P27" s="17"/>
      <c r="Q27" s="16"/>
      <c r="R27" s="17"/>
      <c r="S27" s="18">
        <v>5</v>
      </c>
      <c r="T27" s="18">
        <v>1</v>
      </c>
      <c r="U27" s="19">
        <f t="shared" ref="U27" si="44">S27*T27</f>
        <v>5</v>
      </c>
      <c r="V27" s="14" t="str">
        <f t="shared" ref="V27" si="45">IF(U27&gt;8, "Не доп.", "Доп.")</f>
        <v>Доп.</v>
      </c>
      <c r="W27" s="16"/>
      <c r="X27" s="16"/>
    </row>
    <row r="28" spans="1:24" ht="93.6" x14ac:dyDescent="0.3">
      <c r="A28" s="10"/>
      <c r="B28" s="10"/>
      <c r="C28" s="10"/>
      <c r="D28" s="11" t="s">
        <v>24</v>
      </c>
      <c r="E28" s="78" t="s">
        <v>317</v>
      </c>
      <c r="F28" s="87" t="s">
        <v>318</v>
      </c>
      <c r="G28" s="78" t="s">
        <v>123</v>
      </c>
      <c r="H28" s="26" t="s">
        <v>312</v>
      </c>
      <c r="I28" s="12">
        <v>5</v>
      </c>
      <c r="J28" s="12">
        <v>3</v>
      </c>
      <c r="K28" s="22">
        <f t="shared" si="37"/>
        <v>15</v>
      </c>
      <c r="L28" s="14" t="str">
        <f t="shared" ref="L28" si="46">IF(K28&gt;8, "Не доп.", "Доп.")</f>
        <v>Не доп.</v>
      </c>
      <c r="M28" s="80"/>
      <c r="N28" s="15" t="s">
        <v>319</v>
      </c>
      <c r="O28" s="24" t="s">
        <v>262</v>
      </c>
      <c r="P28" s="17"/>
      <c r="Q28" s="16"/>
      <c r="R28" s="17"/>
      <c r="S28" s="18">
        <v>5</v>
      </c>
      <c r="T28" s="18">
        <v>1</v>
      </c>
      <c r="U28" s="19"/>
      <c r="V28" s="14"/>
      <c r="W28" s="16"/>
      <c r="X28" s="16"/>
    </row>
    <row r="29" spans="1:24" ht="93.6" x14ac:dyDescent="0.3">
      <c r="A29" s="10"/>
      <c r="B29" s="10"/>
      <c r="C29" s="10" t="str">
        <f t="shared" ref="C29:C30" si="47">IF(AND(ISBLANK(M29),ISBLANK(N29),ISBLANK(O29)),"!","")</f>
        <v/>
      </c>
      <c r="D29" s="11" t="s">
        <v>24</v>
      </c>
      <c r="E29" s="78" t="s">
        <v>320</v>
      </c>
      <c r="F29" s="87" t="s">
        <v>323</v>
      </c>
      <c r="G29" s="78" t="s">
        <v>123</v>
      </c>
      <c r="H29" s="26" t="s">
        <v>125</v>
      </c>
      <c r="I29" s="12">
        <v>5</v>
      </c>
      <c r="J29" s="12">
        <v>2</v>
      </c>
      <c r="K29" s="22">
        <f t="shared" si="37"/>
        <v>10</v>
      </c>
      <c r="L29" s="14" t="str">
        <f t="shared" ref="L29:L30" si="48">IF(K29&gt;8, "Не доп.", "Доп.")</f>
        <v>Не доп.</v>
      </c>
      <c r="M29" s="80"/>
      <c r="N29" s="15" t="s">
        <v>315</v>
      </c>
      <c r="O29" s="24" t="s">
        <v>316</v>
      </c>
      <c r="P29" s="17"/>
      <c r="Q29" s="16"/>
      <c r="R29" s="17"/>
      <c r="S29" s="18">
        <v>5</v>
      </c>
      <c r="T29" s="18">
        <v>1</v>
      </c>
      <c r="U29" s="19">
        <f t="shared" ref="U29:U30" si="49">S29*T29</f>
        <v>5</v>
      </c>
      <c r="V29" s="14" t="str">
        <f t="shared" ref="V29:V30" si="50">IF(U29&gt;8, "Не доп.", "Доп.")</f>
        <v>Доп.</v>
      </c>
      <c r="W29" s="16"/>
      <c r="X29" s="16"/>
    </row>
    <row r="30" spans="1:24" ht="93.6" x14ac:dyDescent="0.3">
      <c r="A30" s="10"/>
      <c r="B30" s="10"/>
      <c r="C30" s="10" t="str">
        <f t="shared" si="47"/>
        <v/>
      </c>
      <c r="D30" s="11" t="s">
        <v>24</v>
      </c>
      <c r="E30" s="78" t="s">
        <v>321</v>
      </c>
      <c r="F30" s="87" t="s">
        <v>322</v>
      </c>
      <c r="G30" s="78" t="s">
        <v>324</v>
      </c>
      <c r="H30" s="26" t="s">
        <v>312</v>
      </c>
      <c r="I30" s="12">
        <v>5</v>
      </c>
      <c r="J30" s="12">
        <v>2</v>
      </c>
      <c r="K30" s="22">
        <f t="shared" si="37"/>
        <v>10</v>
      </c>
      <c r="L30" s="14" t="str">
        <f t="shared" si="48"/>
        <v>Не доп.</v>
      </c>
      <c r="M30" s="80"/>
      <c r="N30" s="15" t="s">
        <v>325</v>
      </c>
      <c r="O30" s="24" t="s">
        <v>326</v>
      </c>
      <c r="P30" s="17"/>
      <c r="Q30" s="16"/>
      <c r="R30" s="17"/>
      <c r="S30" s="18">
        <v>5</v>
      </c>
      <c r="T30" s="18">
        <v>1</v>
      </c>
      <c r="U30" s="19">
        <f t="shared" si="49"/>
        <v>5</v>
      </c>
      <c r="V30" s="14" t="str">
        <f t="shared" si="50"/>
        <v>Доп.</v>
      </c>
      <c r="W30" s="16"/>
      <c r="X30" s="16"/>
    </row>
    <row r="31" spans="1:24" ht="109.2" x14ac:dyDescent="0.3">
      <c r="A31" s="10"/>
      <c r="B31" s="10"/>
      <c r="C31" s="10" t="str">
        <f t="shared" ref="C31:C33" si="51">IF(AND(ISBLANK(M31),ISBLANK(N31),ISBLANK(O31)),"!","")</f>
        <v/>
      </c>
      <c r="D31" s="11" t="s">
        <v>24</v>
      </c>
      <c r="E31" s="78" t="s">
        <v>327</v>
      </c>
      <c r="F31" s="87" t="s">
        <v>328</v>
      </c>
      <c r="G31" s="78" t="s">
        <v>324</v>
      </c>
      <c r="H31" s="26" t="s">
        <v>312</v>
      </c>
      <c r="I31" s="12">
        <v>5</v>
      </c>
      <c r="J31" s="12">
        <v>2</v>
      </c>
      <c r="K31" s="22">
        <f t="shared" si="37"/>
        <v>10</v>
      </c>
      <c r="L31" s="14" t="str">
        <f t="shared" ref="L31:L33" si="52">IF(K31&gt;8, "Не доп.", "Доп.")</f>
        <v>Не доп.</v>
      </c>
      <c r="M31" s="80"/>
      <c r="N31" s="15" t="s">
        <v>329</v>
      </c>
      <c r="O31" s="24"/>
      <c r="P31" s="17"/>
      <c r="Q31" s="16"/>
      <c r="R31" s="17"/>
      <c r="S31" s="18"/>
      <c r="T31" s="18"/>
      <c r="U31" s="19">
        <f t="shared" ref="U31:U33" si="53">S31*T31</f>
        <v>0</v>
      </c>
      <c r="V31" s="14" t="str">
        <f t="shared" ref="V31:V33" si="54">IF(U31&gt;8, "Не доп.", "Доп.")</f>
        <v>Доп.</v>
      </c>
      <c r="W31" s="16"/>
      <c r="X31" s="16"/>
    </row>
    <row r="32" spans="1:24" ht="109.2" x14ac:dyDescent="0.3">
      <c r="A32" s="10"/>
      <c r="B32" s="10"/>
      <c r="C32" s="10" t="str">
        <f t="shared" si="51"/>
        <v/>
      </c>
      <c r="D32" s="11" t="s">
        <v>24</v>
      </c>
      <c r="E32" s="78" t="s">
        <v>330</v>
      </c>
      <c r="F32" s="87" t="s">
        <v>331</v>
      </c>
      <c r="G32" s="78" t="s">
        <v>324</v>
      </c>
      <c r="H32" s="26" t="s">
        <v>312</v>
      </c>
      <c r="I32" s="12">
        <v>5</v>
      </c>
      <c r="J32" s="12">
        <v>2</v>
      </c>
      <c r="K32" s="22">
        <f t="shared" si="37"/>
        <v>10</v>
      </c>
      <c r="L32" s="14" t="str">
        <f t="shared" si="52"/>
        <v>Не доп.</v>
      </c>
      <c r="M32" s="80"/>
      <c r="N32" s="15"/>
      <c r="O32" s="24" t="s">
        <v>332</v>
      </c>
      <c r="P32" s="17"/>
      <c r="Q32" s="16"/>
      <c r="R32" s="17"/>
      <c r="S32" s="18">
        <v>5</v>
      </c>
      <c r="T32" s="18">
        <v>1</v>
      </c>
      <c r="U32" s="19">
        <f t="shared" si="53"/>
        <v>5</v>
      </c>
      <c r="V32" s="14" t="str">
        <f t="shared" si="54"/>
        <v>Доп.</v>
      </c>
      <c r="W32" s="16"/>
      <c r="X32" s="16"/>
    </row>
    <row r="33" spans="1:24" ht="156" x14ac:dyDescent="0.3">
      <c r="A33" s="10"/>
      <c r="B33" s="10"/>
      <c r="C33" s="10" t="str">
        <f t="shared" si="51"/>
        <v/>
      </c>
      <c r="D33" s="11" t="s">
        <v>24</v>
      </c>
      <c r="E33" s="78" t="s">
        <v>333</v>
      </c>
      <c r="F33" s="87" t="s">
        <v>334</v>
      </c>
      <c r="G33" s="78" t="s">
        <v>324</v>
      </c>
      <c r="H33" s="26" t="s">
        <v>336</v>
      </c>
      <c r="I33" s="12">
        <v>5</v>
      </c>
      <c r="J33" s="12">
        <v>2</v>
      </c>
      <c r="K33" s="22">
        <f t="shared" si="37"/>
        <v>10</v>
      </c>
      <c r="L33" s="14" t="str">
        <f t="shared" si="52"/>
        <v>Не доп.</v>
      </c>
      <c r="M33" s="80"/>
      <c r="N33" s="15" t="s">
        <v>335</v>
      </c>
      <c r="O33" s="24" t="s">
        <v>348</v>
      </c>
      <c r="P33" s="17"/>
      <c r="Q33" s="16"/>
      <c r="R33" s="17"/>
      <c r="S33" s="18">
        <v>5</v>
      </c>
      <c r="T33" s="18">
        <v>1</v>
      </c>
      <c r="U33" s="19">
        <f t="shared" si="53"/>
        <v>5</v>
      </c>
      <c r="V33" s="14" t="str">
        <f t="shared" si="54"/>
        <v>Доп.</v>
      </c>
      <c r="W33" s="16"/>
      <c r="X33" s="16"/>
    </row>
    <row r="34" spans="1:24" ht="93.6" x14ac:dyDescent="0.3">
      <c r="A34" s="10"/>
      <c r="B34" s="10"/>
      <c r="C34" s="10"/>
      <c r="D34" s="11" t="s">
        <v>24</v>
      </c>
      <c r="E34" s="78" t="s">
        <v>337</v>
      </c>
      <c r="F34" s="87" t="s">
        <v>338</v>
      </c>
      <c r="G34" s="78" t="s">
        <v>339</v>
      </c>
      <c r="H34" s="26" t="s">
        <v>336</v>
      </c>
      <c r="I34" s="12">
        <v>5</v>
      </c>
      <c r="J34" s="12">
        <v>2</v>
      </c>
      <c r="K34" s="22">
        <f t="shared" si="37"/>
        <v>10</v>
      </c>
      <c r="L34" s="14" t="str">
        <f t="shared" ref="L34:L36" si="55">IF(K34&gt;8, "Не доп.", "Доп.")</f>
        <v>Не доп.</v>
      </c>
      <c r="M34" s="80"/>
      <c r="N34" s="15"/>
      <c r="O34" s="24" t="s">
        <v>340</v>
      </c>
      <c r="P34" s="17"/>
      <c r="Q34" s="16"/>
      <c r="R34" s="17"/>
      <c r="S34" s="18">
        <v>5</v>
      </c>
      <c r="T34" s="18">
        <v>1</v>
      </c>
      <c r="U34" s="19">
        <f t="shared" ref="U34:U36" si="56">S34*T34</f>
        <v>5</v>
      </c>
      <c r="V34" s="14" t="str">
        <f t="shared" ref="V34:V36" si="57">IF(U34&gt;8, "Не доп.", "Доп.")</f>
        <v>Доп.</v>
      </c>
      <c r="W34" s="16"/>
      <c r="X34" s="16"/>
    </row>
    <row r="35" spans="1:24" ht="109.2" x14ac:dyDescent="0.3">
      <c r="A35" s="10"/>
      <c r="B35" s="10"/>
      <c r="C35" s="10"/>
      <c r="D35" s="11" t="s">
        <v>342</v>
      </c>
      <c r="E35" s="78" t="s">
        <v>341</v>
      </c>
      <c r="F35" s="87" t="s">
        <v>343</v>
      </c>
      <c r="G35" s="78" t="s">
        <v>324</v>
      </c>
      <c r="H35" s="26" t="s">
        <v>336</v>
      </c>
      <c r="I35" s="12">
        <v>5</v>
      </c>
      <c r="J35" s="12">
        <v>2</v>
      </c>
      <c r="K35" s="22">
        <f t="shared" si="37"/>
        <v>10</v>
      </c>
      <c r="L35" s="14" t="str">
        <f t="shared" si="55"/>
        <v>Не доп.</v>
      </c>
      <c r="M35" s="80"/>
      <c r="N35" s="15"/>
      <c r="O35" s="24" t="s">
        <v>344</v>
      </c>
      <c r="P35" s="17"/>
      <c r="Q35" s="16"/>
      <c r="R35" s="17" t="s">
        <v>345</v>
      </c>
      <c r="S35" s="18">
        <v>5</v>
      </c>
      <c r="T35" s="18">
        <v>1</v>
      </c>
      <c r="U35" s="19">
        <f t="shared" si="56"/>
        <v>5</v>
      </c>
      <c r="V35" s="14" t="str">
        <f t="shared" si="57"/>
        <v>Доп.</v>
      </c>
      <c r="W35" s="16"/>
      <c r="X35" s="16"/>
    </row>
    <row r="36" spans="1:24" ht="234" x14ac:dyDescent="0.3">
      <c r="A36" s="10"/>
      <c r="B36" s="10"/>
      <c r="C36" s="10"/>
      <c r="D36" s="11" t="s">
        <v>24</v>
      </c>
      <c r="E36" s="78" t="s">
        <v>346</v>
      </c>
      <c r="F36" s="87" t="s">
        <v>347</v>
      </c>
      <c r="G36" s="78" t="s">
        <v>324</v>
      </c>
      <c r="H36" s="26" t="s">
        <v>336</v>
      </c>
      <c r="I36" s="12">
        <v>5</v>
      </c>
      <c r="J36" s="12">
        <v>2</v>
      </c>
      <c r="K36" s="22">
        <f t="shared" si="37"/>
        <v>10</v>
      </c>
      <c r="L36" s="14" t="str">
        <f t="shared" si="55"/>
        <v>Не доп.</v>
      </c>
      <c r="M36" s="80"/>
      <c r="N36" s="15"/>
      <c r="O36" s="24" t="s">
        <v>380</v>
      </c>
      <c r="P36" s="17"/>
      <c r="Q36" s="16"/>
      <c r="R36" s="17"/>
      <c r="S36" s="18">
        <v>5</v>
      </c>
      <c r="T36" s="18">
        <v>1</v>
      </c>
      <c r="U36" s="19">
        <f t="shared" si="56"/>
        <v>5</v>
      </c>
      <c r="V36" s="14" t="str">
        <f t="shared" si="57"/>
        <v>Доп.</v>
      </c>
      <c r="W36" s="16"/>
      <c r="X36" s="16"/>
    </row>
    <row r="37" spans="1:24" ht="93.6" x14ac:dyDescent="0.3">
      <c r="A37" s="10"/>
      <c r="B37" s="10"/>
      <c r="C37" s="10"/>
      <c r="D37" s="11" t="s">
        <v>24</v>
      </c>
      <c r="E37" s="78" t="s">
        <v>350</v>
      </c>
      <c r="F37" s="87" t="s">
        <v>351</v>
      </c>
      <c r="G37" s="78" t="s">
        <v>352</v>
      </c>
      <c r="H37" s="26" t="s">
        <v>336</v>
      </c>
      <c r="I37" s="12">
        <v>5</v>
      </c>
      <c r="J37" s="12">
        <v>2</v>
      </c>
      <c r="K37" s="22">
        <f t="shared" si="37"/>
        <v>10</v>
      </c>
      <c r="L37" s="14" t="str">
        <f t="shared" ref="L37:L38" si="58">IF(K37&gt;8, "Не доп.", "Доп.")</f>
        <v>Не доп.</v>
      </c>
      <c r="M37" s="80"/>
      <c r="N37" s="15"/>
      <c r="O37" s="24" t="s">
        <v>353</v>
      </c>
      <c r="P37" s="17"/>
      <c r="Q37" s="16"/>
      <c r="R37" s="17"/>
      <c r="S37" s="18">
        <v>5</v>
      </c>
      <c r="T37" s="18">
        <v>1</v>
      </c>
      <c r="U37" s="19">
        <f t="shared" ref="U37:U38" si="59">S37*T37</f>
        <v>5</v>
      </c>
      <c r="V37" s="14" t="str">
        <f t="shared" ref="V37:V38" si="60">IF(U37&gt;8, "Не доп.", "Доп.")</f>
        <v>Доп.</v>
      </c>
      <c r="W37" s="16"/>
      <c r="X37" s="16"/>
    </row>
    <row r="38" spans="1:24" ht="93.6" x14ac:dyDescent="0.3">
      <c r="A38" s="10"/>
      <c r="B38" s="10"/>
      <c r="C38" s="10"/>
      <c r="D38" s="11" t="s">
        <v>24</v>
      </c>
      <c r="E38" s="78" t="s">
        <v>349</v>
      </c>
      <c r="F38" s="87" t="s">
        <v>354</v>
      </c>
      <c r="G38" s="78" t="s">
        <v>324</v>
      </c>
      <c r="H38" s="26" t="s">
        <v>336</v>
      </c>
      <c r="I38" s="12">
        <v>5</v>
      </c>
      <c r="J38" s="12">
        <v>2</v>
      </c>
      <c r="K38" s="22">
        <f t="shared" si="37"/>
        <v>10</v>
      </c>
      <c r="L38" s="14" t="str">
        <f t="shared" si="58"/>
        <v>Не доп.</v>
      </c>
      <c r="M38" s="80"/>
      <c r="N38" s="15" t="s">
        <v>356</v>
      </c>
      <c r="O38" s="24" t="s">
        <v>355</v>
      </c>
      <c r="P38" s="17"/>
      <c r="Q38" s="16"/>
      <c r="R38" s="17"/>
      <c r="S38" s="18">
        <v>5</v>
      </c>
      <c r="T38" s="18">
        <v>1</v>
      </c>
      <c r="U38" s="19">
        <f t="shared" si="59"/>
        <v>5</v>
      </c>
      <c r="V38" s="14" t="str">
        <f t="shared" si="60"/>
        <v>Доп.</v>
      </c>
      <c r="W38" s="16"/>
      <c r="X38" s="16"/>
    </row>
    <row r="39" spans="1:24" ht="15.6" x14ac:dyDescent="0.3">
      <c r="C39" s="62"/>
      <c r="D39" s="62"/>
      <c r="E39" s="62"/>
      <c r="F39" s="62"/>
      <c r="G39" s="62"/>
      <c r="H39" s="62"/>
      <c r="I39" s="62"/>
      <c r="J39" s="62"/>
      <c r="K39" s="63"/>
      <c r="L39" s="62"/>
      <c r="M39" s="64"/>
      <c r="N39" s="62"/>
      <c r="O39" s="64"/>
      <c r="P39" s="62"/>
      <c r="Q39" s="64"/>
      <c r="R39" s="62"/>
      <c r="S39" s="62"/>
      <c r="T39" s="62"/>
      <c r="U39" s="65"/>
      <c r="V39" s="7"/>
    </row>
    <row r="40" spans="1:24" ht="15.6" x14ac:dyDescent="0.3">
      <c r="C40" s="62"/>
      <c r="D40" s="62"/>
      <c r="E40" s="62"/>
      <c r="F40" s="62"/>
      <c r="G40" s="62"/>
      <c r="H40" s="62"/>
      <c r="I40" s="62"/>
      <c r="J40" s="62"/>
      <c r="K40" s="63"/>
      <c r="L40" s="62"/>
      <c r="M40" s="64"/>
      <c r="N40" s="62"/>
      <c r="O40" s="64"/>
      <c r="P40" s="62"/>
      <c r="Q40" s="64"/>
      <c r="R40" s="62"/>
      <c r="S40" s="62"/>
      <c r="T40" s="62"/>
      <c r="U40" s="65"/>
      <c r="V40" s="7"/>
    </row>
    <row r="41" spans="1:24" x14ac:dyDescent="0.3">
      <c r="C41" s="62"/>
      <c r="D41" s="62"/>
      <c r="E41" s="62"/>
      <c r="F41" s="62"/>
      <c r="G41" s="62"/>
      <c r="H41" s="62"/>
      <c r="I41" s="62"/>
      <c r="J41" s="62"/>
      <c r="K41" s="63"/>
      <c r="L41" s="62"/>
      <c r="M41" s="64"/>
      <c r="N41" s="62"/>
      <c r="O41" s="64"/>
      <c r="P41" s="62"/>
      <c r="Q41" s="64"/>
      <c r="R41" s="62"/>
      <c r="S41" s="62"/>
      <c r="T41" s="62"/>
      <c r="U41" s="65"/>
      <c r="V41" s="65"/>
    </row>
    <row r="42" spans="1:24" x14ac:dyDescent="0.3">
      <c r="C42" s="62"/>
      <c r="D42" s="62"/>
      <c r="E42" s="62"/>
      <c r="F42" s="62"/>
      <c r="G42" s="62"/>
      <c r="H42" s="62"/>
      <c r="I42" s="62"/>
      <c r="J42" s="62"/>
      <c r="K42" s="63"/>
      <c r="L42" s="62"/>
      <c r="M42" s="64"/>
      <c r="N42" s="62"/>
      <c r="O42" s="64"/>
      <c r="P42" s="62"/>
      <c r="Q42" s="64"/>
      <c r="R42" s="62"/>
      <c r="S42" s="62"/>
      <c r="T42" s="65"/>
      <c r="U42" s="65"/>
      <c r="V42" s="65"/>
    </row>
    <row r="43" spans="1:24" x14ac:dyDescent="0.3">
      <c r="C43" s="62"/>
      <c r="D43" s="62"/>
      <c r="E43" s="62"/>
      <c r="F43" s="62"/>
      <c r="G43" s="62"/>
      <c r="H43" s="62"/>
      <c r="I43" s="62"/>
      <c r="J43" s="62"/>
      <c r="K43" s="63"/>
      <c r="L43" s="62"/>
      <c r="M43" s="64"/>
      <c r="N43" s="62"/>
      <c r="O43" s="64"/>
      <c r="P43" s="62"/>
      <c r="Q43" s="64"/>
      <c r="R43" s="62"/>
      <c r="S43" s="62"/>
      <c r="T43" s="65"/>
      <c r="U43" s="65"/>
      <c r="V43" s="65"/>
    </row>
  </sheetData>
  <mergeCells count="9">
    <mergeCell ref="M1:U1"/>
    <mergeCell ref="V1:V3"/>
    <mergeCell ref="W1:W3"/>
    <mergeCell ref="X1:X3"/>
    <mergeCell ref="M2:O2"/>
    <mergeCell ref="P2:R2"/>
    <mergeCell ref="S2:S3"/>
    <mergeCell ref="T2:T3"/>
    <mergeCell ref="U2:U3"/>
  </mergeCells>
  <conditionalFormatting sqref="K5:K7 K11:K16">
    <cfRule type="colorScale" priority="304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301">
      <colorScale>
        <cfvo type="num" val="6"/>
        <cfvo type="num" val="12"/>
        <cfvo type="num" val="20"/>
        <color rgb="FF00B050"/>
        <color rgb="FFFFEB84"/>
        <color rgb="FFFF0000"/>
      </colorScale>
    </cfRule>
    <cfRule type="colorScale" priority="302">
      <colorScale>
        <cfvo type="num" val="10"/>
        <cfvo type="num" val="12"/>
        <cfvo type="num" val="20"/>
        <color rgb="FFF8696B"/>
        <color rgb="FFFFEB84"/>
        <color rgb="FF63BE7B"/>
      </colorScale>
    </cfRule>
    <cfRule type="colorScale" priority="303">
      <colorScale>
        <cfvo type="min"/>
        <cfvo type="percentile" val="50"/>
        <cfvo type="max"/>
        <color rgb="FF92D050"/>
        <color rgb="FFFFEB84"/>
        <color rgb="FFFF0000"/>
      </colorScale>
    </cfRule>
  </conditionalFormatting>
  <conditionalFormatting sqref="K5:K38">
    <cfRule type="cellIs" dxfId="26" priority="11" operator="between">
      <formula>6</formula>
      <formula>12</formula>
    </cfRule>
    <cfRule type="cellIs" dxfId="25" priority="10" operator="greaterThan">
      <formula>12</formula>
    </cfRule>
    <cfRule type="cellIs" dxfId="24" priority="12" operator="lessThan">
      <formula>6</formula>
    </cfRule>
  </conditionalFormatting>
  <conditionalFormatting sqref="K8:K10">
    <cfRule type="colorScale" priority="13">
      <colorScale>
        <cfvo type="num" val="6"/>
        <cfvo type="num" val="12"/>
        <cfvo type="num" val="20"/>
        <color rgb="FF00B050"/>
        <color rgb="FFFFEB84"/>
        <color rgb="FFFF0000"/>
      </colorScale>
    </cfRule>
    <cfRule type="colorScale" priority="14">
      <colorScale>
        <cfvo type="num" val="10"/>
        <cfvo type="num" val="12"/>
        <cfvo type="num" val="20"/>
        <color rgb="FFF8696B"/>
        <color rgb="FFFFEB84"/>
        <color rgb="FF63BE7B"/>
      </colorScale>
    </cfRule>
    <cfRule type="colorScale" priority="15">
      <colorScale>
        <cfvo type="min"/>
        <cfvo type="percentile" val="50"/>
        <cfvo type="max"/>
        <color rgb="FF92D050"/>
        <color rgb="FFFFEB84"/>
        <color rgb="FFFF0000"/>
      </colorScale>
    </cfRule>
    <cfRule type="colorScale" priority="1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17">
    <cfRule type="colorScale" priority="285">
      <colorScale>
        <cfvo type="num" val="6"/>
        <cfvo type="num" val="12"/>
        <cfvo type="num" val="20"/>
        <color rgb="FF00B050"/>
        <color rgb="FFFFEB84"/>
        <color rgb="FFFF0000"/>
      </colorScale>
    </cfRule>
    <cfRule type="colorScale" priority="288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86">
      <colorScale>
        <cfvo type="num" val="10"/>
        <cfvo type="num" val="12"/>
        <cfvo type="num" val="20"/>
        <color rgb="FFF8696B"/>
        <color rgb="FFFFEB84"/>
        <color rgb="FF63BE7B"/>
      </colorScale>
    </cfRule>
    <cfRule type="colorScale" priority="287">
      <colorScale>
        <cfvo type="min"/>
        <cfvo type="percentile" val="50"/>
        <cfvo type="max"/>
        <color rgb="FF92D050"/>
        <color rgb="FFFFEB84"/>
        <color rgb="FFFF0000"/>
      </colorScale>
    </cfRule>
  </conditionalFormatting>
  <conditionalFormatting sqref="K18">
    <cfRule type="colorScale" priority="272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71">
      <colorScale>
        <cfvo type="min"/>
        <cfvo type="percentile" val="50"/>
        <cfvo type="max"/>
        <color rgb="FF92D050"/>
        <color rgb="FFFFEB84"/>
        <color rgb="FFFF0000"/>
      </colorScale>
    </cfRule>
    <cfRule type="colorScale" priority="270">
      <colorScale>
        <cfvo type="num" val="10"/>
        <cfvo type="num" val="12"/>
        <cfvo type="num" val="20"/>
        <color rgb="FFF8696B"/>
        <color rgb="FFFFEB84"/>
        <color rgb="FF63BE7B"/>
      </colorScale>
    </cfRule>
    <cfRule type="colorScale" priority="269">
      <colorScale>
        <cfvo type="num" val="6"/>
        <cfvo type="num" val="12"/>
        <cfvo type="num" val="20"/>
        <color rgb="FF00B050"/>
        <color rgb="FFFFEB84"/>
        <color rgb="FFFF0000"/>
      </colorScale>
    </cfRule>
  </conditionalFormatting>
  <conditionalFormatting sqref="K19:K24">
    <cfRule type="colorScale" priority="255">
      <colorScale>
        <cfvo type="min"/>
        <cfvo type="percentile" val="50"/>
        <cfvo type="max"/>
        <color rgb="FF92D050"/>
        <color rgb="FFFFEB84"/>
        <color rgb="FFFF0000"/>
      </colorScale>
    </cfRule>
    <cfRule type="colorScale" priority="254">
      <colorScale>
        <cfvo type="num" val="10"/>
        <cfvo type="num" val="12"/>
        <cfvo type="num" val="20"/>
        <color rgb="FFF8696B"/>
        <color rgb="FFFFEB84"/>
        <color rgb="FF63BE7B"/>
      </colorScale>
    </cfRule>
    <cfRule type="colorScale" priority="253">
      <colorScale>
        <cfvo type="num" val="6"/>
        <cfvo type="num" val="12"/>
        <cfvo type="num" val="20"/>
        <color rgb="FF00B050"/>
        <color rgb="FFFFEB84"/>
        <color rgb="FFFF0000"/>
      </colorScale>
    </cfRule>
    <cfRule type="colorScale" priority="25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25">
    <cfRule type="colorScale" priority="239">
      <colorScale>
        <cfvo type="min"/>
        <cfvo type="percentile" val="50"/>
        <cfvo type="max"/>
        <color rgb="FF92D050"/>
        <color rgb="FFFFEB84"/>
        <color rgb="FFFF0000"/>
      </colorScale>
    </cfRule>
    <cfRule type="colorScale" priority="240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38">
      <colorScale>
        <cfvo type="num" val="10"/>
        <cfvo type="num" val="12"/>
        <cfvo type="num" val="20"/>
        <color rgb="FFF8696B"/>
        <color rgb="FFFFEB84"/>
        <color rgb="FF63BE7B"/>
      </colorScale>
    </cfRule>
    <cfRule type="colorScale" priority="237">
      <colorScale>
        <cfvo type="num" val="6"/>
        <cfvo type="num" val="12"/>
        <cfvo type="num" val="20"/>
        <color rgb="FF00B050"/>
        <color rgb="FFFFEB84"/>
        <color rgb="FFFF0000"/>
      </colorScale>
    </cfRule>
  </conditionalFormatting>
  <conditionalFormatting sqref="K26">
    <cfRule type="colorScale" priority="222">
      <colorScale>
        <cfvo type="num" val="10"/>
        <cfvo type="num" val="12"/>
        <cfvo type="num" val="20"/>
        <color rgb="FFF8696B"/>
        <color rgb="FFFFEB84"/>
        <color rgb="FF63BE7B"/>
      </colorScale>
    </cfRule>
    <cfRule type="colorScale" priority="223">
      <colorScale>
        <cfvo type="min"/>
        <cfvo type="percentile" val="50"/>
        <cfvo type="max"/>
        <color rgb="FF92D050"/>
        <color rgb="FFFFEB84"/>
        <color rgb="FFFF0000"/>
      </colorScale>
    </cfRule>
    <cfRule type="colorScale" priority="221">
      <colorScale>
        <cfvo type="num" val="6"/>
        <cfvo type="num" val="12"/>
        <cfvo type="num" val="20"/>
        <color rgb="FF00B050"/>
        <color rgb="FFFFEB84"/>
        <color rgb="FFFF0000"/>
      </colorScale>
    </cfRule>
    <cfRule type="colorScale" priority="22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27:K28">
    <cfRule type="colorScale" priority="205">
      <colorScale>
        <cfvo type="num" val="6"/>
        <cfvo type="num" val="12"/>
        <cfvo type="num" val="20"/>
        <color rgb="FF00B050"/>
        <color rgb="FFFFEB84"/>
        <color rgb="FFFF0000"/>
      </colorScale>
    </cfRule>
    <cfRule type="colorScale" priority="208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07">
      <colorScale>
        <cfvo type="min"/>
        <cfvo type="percentile" val="50"/>
        <cfvo type="max"/>
        <color rgb="FF92D050"/>
        <color rgb="FFFFEB84"/>
        <color rgb="FFFF0000"/>
      </colorScale>
    </cfRule>
    <cfRule type="colorScale" priority="206">
      <colorScale>
        <cfvo type="num" val="10"/>
        <cfvo type="num" val="12"/>
        <cfvo type="num" val="20"/>
        <color rgb="FFF8696B"/>
        <color rgb="FFFFEB84"/>
        <color rgb="FF63BE7B"/>
      </colorScale>
    </cfRule>
  </conditionalFormatting>
  <conditionalFormatting sqref="K29">
    <cfRule type="colorScale" priority="192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91">
      <colorScale>
        <cfvo type="min"/>
        <cfvo type="percentile" val="50"/>
        <cfvo type="max"/>
        <color rgb="FF92D050"/>
        <color rgb="FFFFEB84"/>
        <color rgb="FFFF0000"/>
      </colorScale>
    </cfRule>
    <cfRule type="colorScale" priority="189">
      <colorScale>
        <cfvo type="num" val="6"/>
        <cfvo type="num" val="12"/>
        <cfvo type="num" val="20"/>
        <color rgb="FF00B050"/>
        <color rgb="FFFFEB84"/>
        <color rgb="FFFF0000"/>
      </colorScale>
    </cfRule>
    <cfRule type="colorScale" priority="190">
      <colorScale>
        <cfvo type="num" val="10"/>
        <cfvo type="num" val="12"/>
        <cfvo type="num" val="20"/>
        <color rgb="FFF8696B"/>
        <color rgb="FFFFEB84"/>
        <color rgb="FF63BE7B"/>
      </colorScale>
    </cfRule>
  </conditionalFormatting>
  <conditionalFormatting sqref="K30">
    <cfRule type="colorScale" priority="176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75">
      <colorScale>
        <cfvo type="min"/>
        <cfvo type="percentile" val="50"/>
        <cfvo type="max"/>
        <color rgb="FF92D050"/>
        <color rgb="FFFFEB84"/>
        <color rgb="FFFF0000"/>
      </colorScale>
    </cfRule>
    <cfRule type="colorScale" priority="174">
      <colorScale>
        <cfvo type="num" val="10"/>
        <cfvo type="num" val="12"/>
        <cfvo type="num" val="20"/>
        <color rgb="FFF8696B"/>
        <color rgb="FFFFEB84"/>
        <color rgb="FF63BE7B"/>
      </colorScale>
    </cfRule>
    <cfRule type="colorScale" priority="173">
      <colorScale>
        <cfvo type="num" val="6"/>
        <cfvo type="num" val="12"/>
        <cfvo type="num" val="20"/>
        <color rgb="FF00B050"/>
        <color rgb="FFFFEB84"/>
        <color rgb="FFFF0000"/>
      </colorScale>
    </cfRule>
  </conditionalFormatting>
  <conditionalFormatting sqref="K31">
    <cfRule type="colorScale" priority="143">
      <colorScale>
        <cfvo type="min"/>
        <cfvo type="percentile" val="50"/>
        <cfvo type="max"/>
        <color rgb="FF92D050"/>
        <color rgb="FFFFEB84"/>
        <color rgb="FFFF0000"/>
      </colorScale>
    </cfRule>
    <cfRule type="colorScale" priority="142">
      <colorScale>
        <cfvo type="num" val="10"/>
        <cfvo type="num" val="12"/>
        <cfvo type="num" val="20"/>
        <color rgb="FFF8696B"/>
        <color rgb="FFFFEB84"/>
        <color rgb="FF63BE7B"/>
      </colorScale>
    </cfRule>
    <cfRule type="colorScale" priority="141">
      <colorScale>
        <cfvo type="num" val="6"/>
        <cfvo type="num" val="12"/>
        <cfvo type="num" val="20"/>
        <color rgb="FF00B050"/>
        <color rgb="FFFFEB84"/>
        <color rgb="FFFF0000"/>
      </colorScale>
    </cfRule>
    <cfRule type="colorScale" priority="14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32">
    <cfRule type="colorScale" priority="128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25">
      <colorScale>
        <cfvo type="num" val="6"/>
        <cfvo type="num" val="12"/>
        <cfvo type="num" val="20"/>
        <color rgb="FF00B050"/>
        <color rgb="FFFFEB84"/>
        <color rgb="FFFF0000"/>
      </colorScale>
    </cfRule>
    <cfRule type="colorScale" priority="126">
      <colorScale>
        <cfvo type="num" val="10"/>
        <cfvo type="num" val="12"/>
        <cfvo type="num" val="20"/>
        <color rgb="FFF8696B"/>
        <color rgb="FFFFEB84"/>
        <color rgb="FF63BE7B"/>
      </colorScale>
    </cfRule>
    <cfRule type="colorScale" priority="127">
      <colorScale>
        <cfvo type="min"/>
        <cfvo type="percentile" val="50"/>
        <cfvo type="max"/>
        <color rgb="FF92D050"/>
        <color rgb="FFFFEB84"/>
        <color rgb="FFFF0000"/>
      </colorScale>
    </cfRule>
  </conditionalFormatting>
  <conditionalFormatting sqref="K33">
    <cfRule type="colorScale" priority="109">
      <colorScale>
        <cfvo type="num" val="6"/>
        <cfvo type="num" val="12"/>
        <cfvo type="num" val="20"/>
        <color rgb="FF00B050"/>
        <color rgb="FFFFEB84"/>
        <color rgb="FFFF0000"/>
      </colorScale>
    </cfRule>
    <cfRule type="colorScale" priority="110">
      <colorScale>
        <cfvo type="num" val="10"/>
        <cfvo type="num" val="12"/>
        <cfvo type="num" val="20"/>
        <color rgb="FFF8696B"/>
        <color rgb="FFFFEB84"/>
        <color rgb="FF63BE7B"/>
      </colorScale>
    </cfRule>
    <cfRule type="colorScale" priority="111">
      <colorScale>
        <cfvo type="min"/>
        <cfvo type="percentile" val="50"/>
        <cfvo type="max"/>
        <color rgb="FF92D050"/>
        <color rgb="FFFFEB84"/>
        <color rgb="FFFF0000"/>
      </colorScale>
    </cfRule>
    <cfRule type="colorScale" priority="1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34">
    <cfRule type="colorScale" priority="93">
      <colorScale>
        <cfvo type="num" val="6"/>
        <cfvo type="num" val="12"/>
        <cfvo type="num" val="20"/>
        <color rgb="FF00B050"/>
        <color rgb="FFFFEB84"/>
        <color rgb="FFFF0000"/>
      </colorScale>
    </cfRule>
    <cfRule type="colorScale" priority="94">
      <colorScale>
        <cfvo type="num" val="10"/>
        <cfvo type="num" val="12"/>
        <cfvo type="num" val="20"/>
        <color rgb="FFF8696B"/>
        <color rgb="FFFFEB84"/>
        <color rgb="FF63BE7B"/>
      </colorScale>
    </cfRule>
    <cfRule type="colorScale" priority="95">
      <colorScale>
        <cfvo type="min"/>
        <cfvo type="percentile" val="50"/>
        <cfvo type="max"/>
        <color rgb="FF92D050"/>
        <color rgb="FFFFEB84"/>
        <color rgb="FFFF0000"/>
      </colorScale>
    </cfRule>
    <cfRule type="colorScale" priority="9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35">
    <cfRule type="colorScale" priority="79">
      <colorScale>
        <cfvo type="min"/>
        <cfvo type="percentile" val="50"/>
        <cfvo type="max"/>
        <color rgb="FF92D050"/>
        <color rgb="FFFFEB84"/>
        <color rgb="FFFF0000"/>
      </colorScale>
    </cfRule>
    <cfRule type="colorScale" priority="78">
      <colorScale>
        <cfvo type="num" val="10"/>
        <cfvo type="num" val="12"/>
        <cfvo type="num" val="20"/>
        <color rgb="FFF8696B"/>
        <color rgb="FFFFEB84"/>
        <color rgb="FF63BE7B"/>
      </colorScale>
    </cfRule>
    <cfRule type="colorScale" priority="77">
      <colorScale>
        <cfvo type="num" val="6"/>
        <cfvo type="num" val="12"/>
        <cfvo type="num" val="20"/>
        <color rgb="FF00B050"/>
        <color rgb="FFFFEB84"/>
        <color rgb="FFFF0000"/>
      </colorScale>
    </cfRule>
    <cfRule type="colorScale" priority="8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36">
    <cfRule type="colorScale" priority="64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63">
      <colorScale>
        <cfvo type="min"/>
        <cfvo type="percentile" val="50"/>
        <cfvo type="max"/>
        <color rgb="FF92D050"/>
        <color rgb="FFFFEB84"/>
        <color rgb="FFFF0000"/>
      </colorScale>
    </cfRule>
    <cfRule type="colorScale" priority="62">
      <colorScale>
        <cfvo type="num" val="10"/>
        <cfvo type="num" val="12"/>
        <cfvo type="num" val="20"/>
        <color rgb="FFF8696B"/>
        <color rgb="FFFFEB84"/>
        <color rgb="FF63BE7B"/>
      </colorScale>
    </cfRule>
    <cfRule type="colorScale" priority="61">
      <colorScale>
        <cfvo type="num" val="6"/>
        <cfvo type="num" val="12"/>
        <cfvo type="num" val="20"/>
        <color rgb="FF00B050"/>
        <color rgb="FFFFEB84"/>
        <color rgb="FFFF0000"/>
      </colorScale>
    </cfRule>
  </conditionalFormatting>
  <conditionalFormatting sqref="K37">
    <cfRule type="colorScale" priority="48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47">
      <colorScale>
        <cfvo type="min"/>
        <cfvo type="percentile" val="50"/>
        <cfvo type="max"/>
        <color rgb="FF92D050"/>
        <color rgb="FFFFEB84"/>
        <color rgb="FFFF0000"/>
      </colorScale>
    </cfRule>
    <cfRule type="colorScale" priority="46">
      <colorScale>
        <cfvo type="num" val="10"/>
        <cfvo type="num" val="12"/>
        <cfvo type="num" val="20"/>
        <color rgb="FFF8696B"/>
        <color rgb="FFFFEB84"/>
        <color rgb="FF63BE7B"/>
      </colorScale>
    </cfRule>
    <cfRule type="colorScale" priority="45">
      <colorScale>
        <cfvo type="num" val="6"/>
        <cfvo type="num" val="12"/>
        <cfvo type="num" val="20"/>
        <color rgb="FF00B050"/>
        <color rgb="FFFFEB84"/>
        <color rgb="FFFF0000"/>
      </colorScale>
    </cfRule>
  </conditionalFormatting>
  <conditionalFormatting sqref="K38">
    <cfRule type="colorScale" priority="29">
      <colorScale>
        <cfvo type="num" val="6"/>
        <cfvo type="num" val="12"/>
        <cfvo type="num" val="20"/>
        <color rgb="FF00B050"/>
        <color rgb="FFFFEB84"/>
        <color rgb="FFFF0000"/>
      </colorScale>
    </cfRule>
    <cfRule type="colorScale" priority="30">
      <colorScale>
        <cfvo type="num" val="10"/>
        <cfvo type="num" val="12"/>
        <cfvo type="num" val="20"/>
        <color rgb="FFF8696B"/>
        <color rgb="FFFFEB84"/>
        <color rgb="FF63BE7B"/>
      </colorScale>
    </cfRule>
    <cfRule type="colorScale" priority="31">
      <colorScale>
        <cfvo type="min"/>
        <cfvo type="percentile" val="50"/>
        <cfvo type="max"/>
        <color rgb="FF92D050"/>
        <color rgb="FFFFEB84"/>
        <color rgb="FFFF0000"/>
      </colorScale>
    </cfRule>
    <cfRule type="colorScale" priority="3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1:L38">
    <cfRule type="cellIs" dxfId="23" priority="4" operator="equal">
      <formula>"Доп."</formula>
    </cfRule>
    <cfRule type="cellIs" dxfId="22" priority="3" operator="equal">
      <formula>"Не доп."</formula>
    </cfRule>
  </conditionalFormatting>
  <conditionalFormatting sqref="L5:L38">
    <cfRule type="cellIs" dxfId="21" priority="6" operator="equal">
      <formula>"Доп."</formula>
    </cfRule>
    <cfRule type="cellIs" dxfId="20" priority="5" operator="equal">
      <formula>"Не доп."</formula>
    </cfRule>
  </conditionalFormatting>
  <conditionalFormatting sqref="U1">
    <cfRule type="cellIs" dxfId="19" priority="295" operator="greaterThan">
      <formula>12</formula>
    </cfRule>
    <cfRule type="cellIs" dxfId="18" priority="296" operator="between">
      <formula>6</formula>
      <formula>12</formula>
    </cfRule>
    <cfRule type="cellIs" dxfId="17" priority="297" operator="lessThan">
      <formula>6</formula>
    </cfRule>
  </conditionalFormatting>
  <conditionalFormatting sqref="U5:U38">
    <cfRule type="cellIs" dxfId="16" priority="7" operator="greaterThan">
      <formula>12</formula>
    </cfRule>
    <cfRule type="cellIs" dxfId="15" priority="9" operator="lessThan">
      <formula>6</formula>
    </cfRule>
    <cfRule type="cellIs" dxfId="14" priority="8" operator="between">
      <formula>6</formula>
      <formula>12</formula>
    </cfRule>
  </conditionalFormatting>
  <conditionalFormatting sqref="V1:V38">
    <cfRule type="cellIs" dxfId="13" priority="2" operator="equal">
      <formula>"Доп."</formula>
    </cfRule>
    <cfRule type="cellIs" dxfId="12" priority="1" operator="equal">
      <formula>"Не доп."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15"/>
  <sheetViews>
    <sheetView topLeftCell="C1" zoomScale="120" zoomScaleNormal="120" workbookViewId="0">
      <selection activeCell="F5" sqref="F5"/>
    </sheetView>
  </sheetViews>
  <sheetFormatPr defaultRowHeight="14.4" x14ac:dyDescent="0.3"/>
  <cols>
    <col min="1" max="1" width="6.6640625" customWidth="1"/>
    <col min="2" max="2" width="6.44140625" customWidth="1"/>
    <col min="3" max="3" width="5.6640625" customWidth="1"/>
    <col min="4" max="4" width="16.33203125" customWidth="1"/>
    <col min="5" max="5" width="34.109375" customWidth="1"/>
    <col min="6" max="6" width="35.88671875" customWidth="1"/>
    <col min="7" max="7" width="28.33203125" customWidth="1"/>
    <col min="8" max="8" width="26.44140625" customWidth="1"/>
    <col min="13" max="13" width="28.109375" customWidth="1"/>
    <col min="14" max="14" width="30" customWidth="1"/>
    <col min="15" max="15" width="24.5546875" customWidth="1"/>
    <col min="16" max="16" width="28.44140625" customWidth="1"/>
    <col min="17" max="17" width="27.44140625" customWidth="1"/>
    <col min="18" max="18" width="22.6640625" customWidth="1"/>
  </cols>
  <sheetData>
    <row r="1" spans="1:24" ht="87" thickBot="1" x14ac:dyDescent="0.35">
      <c r="A1" s="10"/>
      <c r="B1" s="10"/>
      <c r="C1" s="10"/>
      <c r="D1" s="52" t="s">
        <v>54</v>
      </c>
      <c r="E1" s="53" t="s">
        <v>0</v>
      </c>
      <c r="F1" s="54" t="s">
        <v>1</v>
      </c>
      <c r="G1" s="54" t="s">
        <v>2</v>
      </c>
      <c r="H1" s="54" t="s">
        <v>3</v>
      </c>
      <c r="I1" s="54" t="s">
        <v>4</v>
      </c>
      <c r="J1" s="54" t="s">
        <v>5</v>
      </c>
      <c r="K1" s="54" t="s">
        <v>6</v>
      </c>
      <c r="L1" s="54" t="s">
        <v>7</v>
      </c>
      <c r="M1" s="101" t="s">
        <v>8</v>
      </c>
      <c r="N1" s="102"/>
      <c r="O1" s="102"/>
      <c r="P1" s="102"/>
      <c r="Q1" s="102"/>
      <c r="R1" s="102"/>
      <c r="S1" s="102"/>
      <c r="T1" s="102"/>
      <c r="U1" s="103"/>
      <c r="V1" s="104" t="s">
        <v>7</v>
      </c>
      <c r="W1" s="104" t="s">
        <v>69</v>
      </c>
      <c r="X1" s="104" t="s">
        <v>70</v>
      </c>
    </row>
    <row r="2" spans="1:24" ht="15" thickBot="1" x14ac:dyDescent="0.35">
      <c r="A2" s="10"/>
      <c r="B2" s="10"/>
      <c r="C2" s="10"/>
      <c r="D2" s="50">
        <v>1</v>
      </c>
      <c r="E2" s="51">
        <v>2</v>
      </c>
      <c r="F2" s="51">
        <v>3</v>
      </c>
      <c r="G2" s="51">
        <v>4</v>
      </c>
      <c r="H2" s="51">
        <v>5</v>
      </c>
      <c r="I2" s="51">
        <v>6</v>
      </c>
      <c r="J2" s="51">
        <v>7</v>
      </c>
      <c r="K2" s="51">
        <v>8</v>
      </c>
      <c r="L2" s="51">
        <v>9</v>
      </c>
      <c r="M2" s="101" t="s">
        <v>9</v>
      </c>
      <c r="N2" s="102"/>
      <c r="O2" s="103"/>
      <c r="P2" s="101" t="s">
        <v>10</v>
      </c>
      <c r="Q2" s="102"/>
      <c r="R2" s="103"/>
      <c r="S2" s="107" t="s">
        <v>4</v>
      </c>
      <c r="T2" s="107" t="s">
        <v>5</v>
      </c>
      <c r="U2" s="107" t="s">
        <v>11</v>
      </c>
      <c r="V2" s="105"/>
      <c r="W2" s="105"/>
      <c r="X2" s="105"/>
    </row>
    <row r="3" spans="1:24" ht="29.4" thickBot="1" x14ac:dyDescent="0.35">
      <c r="A3" s="10"/>
      <c r="B3" s="10"/>
      <c r="C3" s="10"/>
      <c r="D3" s="55"/>
      <c r="E3" s="55"/>
      <c r="F3" s="55"/>
      <c r="G3" s="55"/>
      <c r="H3" s="55"/>
      <c r="I3" s="55"/>
      <c r="J3" s="55"/>
      <c r="K3" s="55"/>
      <c r="L3" s="56"/>
      <c r="M3" s="50" t="s">
        <v>12</v>
      </c>
      <c r="N3" s="51" t="s">
        <v>13</v>
      </c>
      <c r="O3" s="51" t="s">
        <v>14</v>
      </c>
      <c r="P3" s="51" t="s">
        <v>12</v>
      </c>
      <c r="Q3" s="51" t="s">
        <v>13</v>
      </c>
      <c r="R3" s="51" t="s">
        <v>14</v>
      </c>
      <c r="S3" s="108"/>
      <c r="T3" s="108"/>
      <c r="U3" s="108"/>
      <c r="V3" s="106"/>
      <c r="W3" s="106"/>
      <c r="X3" s="106"/>
    </row>
    <row r="4" spans="1:24" x14ac:dyDescent="0.3">
      <c r="A4" s="10" t="s">
        <v>34</v>
      </c>
      <c r="B4" s="10" t="s">
        <v>35</v>
      </c>
      <c r="C4" s="10" t="s">
        <v>55</v>
      </c>
      <c r="D4" s="57">
        <v>1</v>
      </c>
      <c r="E4" s="57">
        <v>2</v>
      </c>
      <c r="F4" s="57">
        <v>3</v>
      </c>
      <c r="G4" s="57">
        <v>4</v>
      </c>
      <c r="H4" s="57">
        <v>5</v>
      </c>
      <c r="I4" s="57">
        <v>6</v>
      </c>
      <c r="J4" s="57">
        <v>7</v>
      </c>
      <c r="K4" s="57">
        <v>8</v>
      </c>
      <c r="L4" s="58">
        <v>9</v>
      </c>
      <c r="M4" s="59" t="s">
        <v>15</v>
      </c>
      <c r="N4" s="60" t="s">
        <v>16</v>
      </c>
      <c r="O4" s="60" t="s">
        <v>17</v>
      </c>
      <c r="P4" s="60" t="s">
        <v>21</v>
      </c>
      <c r="Q4" s="60" t="s">
        <v>22</v>
      </c>
      <c r="R4" s="60" t="s">
        <v>23</v>
      </c>
      <c r="S4" s="61">
        <v>12</v>
      </c>
      <c r="T4" s="61">
        <v>13</v>
      </c>
      <c r="U4" s="61">
        <v>14</v>
      </c>
      <c r="V4" s="61">
        <v>15</v>
      </c>
      <c r="W4" s="61">
        <v>16</v>
      </c>
      <c r="X4" s="61">
        <v>17</v>
      </c>
    </row>
    <row r="5" spans="1:24" ht="124.8" x14ac:dyDescent="0.3">
      <c r="A5" s="10"/>
      <c r="B5" s="10"/>
      <c r="C5" s="10" t="str">
        <f>IF(AND(ISBLANK(M5),ISBLANK(N5),ISBLANK(O5)),"!","")</f>
        <v/>
      </c>
      <c r="D5" s="11"/>
      <c r="E5" s="9" t="s">
        <v>195</v>
      </c>
      <c r="F5" s="9" t="s">
        <v>196</v>
      </c>
      <c r="G5" s="9" t="s">
        <v>197</v>
      </c>
      <c r="H5" s="9" t="s">
        <v>131</v>
      </c>
      <c r="I5" s="12">
        <v>5</v>
      </c>
      <c r="J5" s="12">
        <v>5</v>
      </c>
      <c r="K5" s="13">
        <f>I5*J5</f>
        <v>25</v>
      </c>
      <c r="L5" s="14" t="str">
        <f>IF(K5&gt;8, "Не доп.", "Доп.")</f>
        <v>Не доп.</v>
      </c>
      <c r="M5" s="1" t="s">
        <v>227</v>
      </c>
      <c r="N5" s="15" t="s">
        <v>226</v>
      </c>
      <c r="O5" s="24" t="s">
        <v>262</v>
      </c>
      <c r="P5" s="16" t="s">
        <v>228</v>
      </c>
      <c r="Q5" s="16" t="s">
        <v>228</v>
      </c>
      <c r="R5" s="17"/>
      <c r="S5" s="18">
        <v>3</v>
      </c>
      <c r="T5" s="18">
        <v>1</v>
      </c>
      <c r="U5" s="19">
        <f>S5*T5</f>
        <v>3</v>
      </c>
      <c r="V5" s="14" t="str">
        <f>IF(U5&gt;8, "Не доп.", "Доп.")</f>
        <v>Доп.</v>
      </c>
      <c r="W5" s="16"/>
      <c r="X5" s="16"/>
    </row>
    <row r="6" spans="1:24" ht="156" x14ac:dyDescent="0.3">
      <c r="A6" s="10"/>
      <c r="B6" s="10"/>
      <c r="C6" s="10"/>
      <c r="D6" s="1"/>
      <c r="E6" s="20" t="s">
        <v>198</v>
      </c>
      <c r="F6" s="20" t="s">
        <v>230</v>
      </c>
      <c r="G6" s="20" t="s">
        <v>229</v>
      </c>
      <c r="H6" s="20" t="s">
        <v>131</v>
      </c>
      <c r="I6" s="21">
        <v>5</v>
      </c>
      <c r="J6" s="21">
        <v>5</v>
      </c>
      <c r="K6" s="22">
        <f>I6*J6</f>
        <v>25</v>
      </c>
      <c r="L6" s="14" t="str">
        <f t="shared" ref="L6:L9" si="0">IF(K6&gt;8, "Не доп.", "Доп.")</f>
        <v>Не доп.</v>
      </c>
      <c r="M6" s="81" t="s">
        <v>232</v>
      </c>
      <c r="N6" s="44" t="s">
        <v>231</v>
      </c>
      <c r="O6" s="24" t="s">
        <v>262</v>
      </c>
      <c r="P6" s="17" t="s">
        <v>233</v>
      </c>
      <c r="Q6" s="17" t="s">
        <v>233</v>
      </c>
      <c r="R6" s="17"/>
      <c r="S6" s="18">
        <v>5</v>
      </c>
      <c r="T6" s="18">
        <v>1</v>
      </c>
      <c r="U6" s="19">
        <f t="shared" ref="U6:U9" si="1">S6*T6</f>
        <v>5</v>
      </c>
      <c r="V6" s="14" t="str">
        <f t="shared" ref="V6:V9" si="2">IF(U6&gt;8, "Не доп.", "Доп.")</f>
        <v>Доп.</v>
      </c>
      <c r="W6" s="16"/>
      <c r="X6" s="16"/>
    </row>
    <row r="7" spans="1:24" ht="156" x14ac:dyDescent="0.3">
      <c r="A7" s="10"/>
      <c r="B7" s="10"/>
      <c r="C7" s="10" t="str">
        <f t="shared" ref="C7:C9" si="3">IF(AND(ISBLANK(M7),ISBLANK(N7),ISBLANK(O7)),"!","")</f>
        <v/>
      </c>
      <c r="D7" s="25"/>
      <c r="E7" s="26" t="s">
        <v>199</v>
      </c>
      <c r="F7" s="26" t="s">
        <v>200</v>
      </c>
      <c r="G7" s="26" t="s">
        <v>201</v>
      </c>
      <c r="H7" s="26" t="s">
        <v>202</v>
      </c>
      <c r="I7" s="21">
        <v>5</v>
      </c>
      <c r="J7" s="21">
        <v>5</v>
      </c>
      <c r="K7" s="27">
        <f>I7*J7</f>
        <v>25</v>
      </c>
      <c r="L7" s="14" t="str">
        <f t="shared" si="0"/>
        <v>Не доп.</v>
      </c>
      <c r="M7" s="81" t="s">
        <v>232</v>
      </c>
      <c r="N7" s="15" t="s">
        <v>234</v>
      </c>
      <c r="O7" s="24" t="s">
        <v>262</v>
      </c>
      <c r="P7" s="17" t="s">
        <v>233</v>
      </c>
      <c r="Q7" s="17" t="s">
        <v>233</v>
      </c>
      <c r="R7" s="17"/>
      <c r="S7" s="18">
        <v>5</v>
      </c>
      <c r="T7" s="18">
        <v>1</v>
      </c>
      <c r="U7" s="19">
        <f t="shared" si="1"/>
        <v>5</v>
      </c>
      <c r="V7" s="14" t="str">
        <f t="shared" si="2"/>
        <v>Доп.</v>
      </c>
      <c r="W7" s="16"/>
      <c r="X7" s="16"/>
    </row>
    <row r="8" spans="1:24" ht="124.8" x14ac:dyDescent="0.3">
      <c r="A8" s="10"/>
      <c r="B8" s="10"/>
      <c r="C8" s="10" t="str">
        <f t="shared" si="3"/>
        <v/>
      </c>
      <c r="D8" s="25"/>
      <c r="E8" s="26" t="s">
        <v>203</v>
      </c>
      <c r="F8" s="26" t="s">
        <v>204</v>
      </c>
      <c r="G8" s="26" t="s">
        <v>205</v>
      </c>
      <c r="H8" s="26" t="s">
        <v>202</v>
      </c>
      <c r="I8" s="21">
        <v>5</v>
      </c>
      <c r="J8" s="21">
        <v>5</v>
      </c>
      <c r="K8" s="22">
        <f>I8*J8</f>
        <v>25</v>
      </c>
      <c r="L8" s="14" t="str">
        <f t="shared" si="0"/>
        <v>Не доп.</v>
      </c>
      <c r="M8" s="44" t="s">
        <v>235</v>
      </c>
      <c r="N8" s="44" t="s">
        <v>231</v>
      </c>
      <c r="O8" s="24" t="s">
        <v>262</v>
      </c>
      <c r="P8" s="17"/>
      <c r="Q8" s="16"/>
      <c r="R8" s="17"/>
      <c r="S8" s="18">
        <v>5</v>
      </c>
      <c r="T8" s="18">
        <v>1</v>
      </c>
      <c r="U8" s="19">
        <f t="shared" si="1"/>
        <v>5</v>
      </c>
      <c r="V8" s="14" t="str">
        <f t="shared" si="2"/>
        <v>Доп.</v>
      </c>
      <c r="W8" s="16"/>
      <c r="X8" s="16"/>
    </row>
    <row r="9" spans="1:24" ht="171.6" x14ac:dyDescent="0.3">
      <c r="A9" s="10"/>
      <c r="B9" s="10"/>
      <c r="C9" s="10" t="str">
        <f t="shared" si="3"/>
        <v/>
      </c>
      <c r="D9" s="25"/>
      <c r="E9" s="26" t="s">
        <v>206</v>
      </c>
      <c r="F9" s="26" t="s">
        <v>207</v>
      </c>
      <c r="G9" s="26" t="s">
        <v>208</v>
      </c>
      <c r="H9" s="26" t="s">
        <v>202</v>
      </c>
      <c r="I9" s="21">
        <v>5</v>
      </c>
      <c r="J9" s="21">
        <v>5</v>
      </c>
      <c r="K9" s="22">
        <f>I9*J9</f>
        <v>25</v>
      </c>
      <c r="L9" s="14" t="str">
        <f t="shared" si="0"/>
        <v>Не доп.</v>
      </c>
      <c r="M9" s="44" t="s">
        <v>235</v>
      </c>
      <c r="N9" s="15" t="s">
        <v>232</v>
      </c>
      <c r="O9" s="24" t="s">
        <v>262</v>
      </c>
      <c r="P9" s="17"/>
      <c r="Q9" s="16"/>
      <c r="R9" s="17"/>
      <c r="S9" s="18">
        <v>5</v>
      </c>
      <c r="T9" s="18">
        <v>1</v>
      </c>
      <c r="U9" s="19">
        <f t="shared" si="1"/>
        <v>5</v>
      </c>
      <c r="V9" s="14" t="str">
        <f t="shared" si="2"/>
        <v>Доп.</v>
      </c>
      <c r="W9" s="16"/>
      <c r="X9" s="16"/>
    </row>
    <row r="10" spans="1:24" ht="124.8" x14ac:dyDescent="0.3">
      <c r="D10" s="82"/>
      <c r="E10" s="81" t="s">
        <v>209</v>
      </c>
      <c r="F10" s="81" t="s">
        <v>210</v>
      </c>
      <c r="G10" s="81" t="s">
        <v>237</v>
      </c>
      <c r="H10" s="81" t="s">
        <v>202</v>
      </c>
      <c r="I10" s="82">
        <v>5</v>
      </c>
      <c r="J10" s="82">
        <v>5</v>
      </c>
      <c r="K10" s="22">
        <f t="shared" ref="K10:K15" si="4">I10*J10</f>
        <v>25</v>
      </c>
      <c r="L10" s="14" t="str">
        <f t="shared" ref="L10:L15" si="5">IF(K10&gt;8, "Не доп.", "Доп.")</f>
        <v>Не доп.</v>
      </c>
      <c r="M10" s="81" t="s">
        <v>232</v>
      </c>
      <c r="N10" s="81" t="s">
        <v>236</v>
      </c>
      <c r="O10" s="24" t="s">
        <v>262</v>
      </c>
      <c r="P10" s="81"/>
      <c r="Q10" s="81"/>
      <c r="R10" s="81"/>
      <c r="S10" s="82">
        <v>5</v>
      </c>
      <c r="T10" s="82">
        <v>1</v>
      </c>
      <c r="U10" s="19">
        <f t="shared" ref="U10:U15" si="6">S10*T10</f>
        <v>5</v>
      </c>
      <c r="V10" s="14" t="str">
        <f t="shared" ref="V10:V15" si="7">IF(U10&gt;8, "Не доп.", "Доп.")</f>
        <v>Доп.</v>
      </c>
      <c r="W10" s="82"/>
      <c r="X10" s="82"/>
    </row>
    <row r="11" spans="1:24" ht="187.2" x14ac:dyDescent="0.3">
      <c r="D11" s="82"/>
      <c r="E11" s="81" t="s">
        <v>211</v>
      </c>
      <c r="F11" s="81" t="s">
        <v>212</v>
      </c>
      <c r="G11" s="81" t="s">
        <v>213</v>
      </c>
      <c r="H11" s="81" t="s">
        <v>202</v>
      </c>
      <c r="I11" s="82">
        <v>5</v>
      </c>
      <c r="J11" s="82">
        <v>5</v>
      </c>
      <c r="K11" s="22">
        <f t="shared" si="4"/>
        <v>25</v>
      </c>
      <c r="L11" s="14" t="str">
        <f t="shared" si="5"/>
        <v>Не доп.</v>
      </c>
      <c r="M11" s="81" t="s">
        <v>238</v>
      </c>
      <c r="N11" s="81" t="s">
        <v>239</v>
      </c>
      <c r="O11" s="24" t="s">
        <v>263</v>
      </c>
      <c r="P11" s="81"/>
      <c r="Q11" s="81"/>
      <c r="R11" s="81"/>
      <c r="S11" s="82">
        <v>5</v>
      </c>
      <c r="T11" s="82">
        <v>1</v>
      </c>
      <c r="U11" s="19">
        <f t="shared" si="6"/>
        <v>5</v>
      </c>
      <c r="V11" s="14" t="str">
        <f t="shared" si="7"/>
        <v>Доп.</v>
      </c>
      <c r="W11" s="82"/>
      <c r="X11" s="82"/>
    </row>
    <row r="12" spans="1:24" ht="57.6" x14ac:dyDescent="0.3">
      <c r="D12" s="82"/>
      <c r="E12" s="81" t="s">
        <v>214</v>
      </c>
      <c r="F12" s="81" t="s">
        <v>215</v>
      </c>
      <c r="G12" s="81" t="s">
        <v>216</v>
      </c>
      <c r="H12" s="81" t="s">
        <v>217</v>
      </c>
      <c r="I12" s="82">
        <v>3</v>
      </c>
      <c r="J12" s="82">
        <v>2</v>
      </c>
      <c r="K12" s="22">
        <f t="shared" si="4"/>
        <v>6</v>
      </c>
      <c r="L12" s="14" t="str">
        <f t="shared" si="5"/>
        <v>Доп.</v>
      </c>
      <c r="M12" s="81"/>
      <c r="N12" s="81"/>
      <c r="O12" s="81"/>
      <c r="P12" s="81"/>
      <c r="Q12" s="81"/>
      <c r="R12" s="81"/>
      <c r="S12" s="82"/>
      <c r="T12" s="82"/>
      <c r="U12" s="19">
        <f t="shared" si="6"/>
        <v>0</v>
      </c>
      <c r="V12" s="14" t="str">
        <f t="shared" si="7"/>
        <v>Доп.</v>
      </c>
      <c r="W12" s="82"/>
      <c r="X12" s="82"/>
    </row>
    <row r="13" spans="1:24" ht="57.6" x14ac:dyDescent="0.3">
      <c r="D13" s="82"/>
      <c r="E13" s="81" t="s">
        <v>218</v>
      </c>
      <c r="F13" s="81" t="s">
        <v>219</v>
      </c>
      <c r="G13" s="81" t="s">
        <v>216</v>
      </c>
      <c r="H13" s="81" t="s">
        <v>217</v>
      </c>
      <c r="I13" s="82">
        <v>3</v>
      </c>
      <c r="J13" s="82">
        <v>2</v>
      </c>
      <c r="K13" s="22">
        <f t="shared" si="4"/>
        <v>6</v>
      </c>
      <c r="L13" s="14" t="str">
        <f t="shared" si="5"/>
        <v>Доп.</v>
      </c>
      <c r="M13" s="81"/>
      <c r="N13" s="81"/>
      <c r="O13" s="81"/>
      <c r="P13" s="81"/>
      <c r="Q13" s="81"/>
      <c r="R13" s="81"/>
      <c r="S13" s="82"/>
      <c r="T13" s="82"/>
      <c r="U13" s="19">
        <f t="shared" si="6"/>
        <v>0</v>
      </c>
      <c r="V13" s="14" t="str">
        <f t="shared" si="7"/>
        <v>Доп.</v>
      </c>
      <c r="W13" s="82"/>
      <c r="X13" s="82"/>
    </row>
    <row r="14" spans="1:24" ht="57.6" x14ac:dyDescent="0.3">
      <c r="D14" s="82"/>
      <c r="E14" s="81" t="s">
        <v>220</v>
      </c>
      <c r="F14" s="81" t="s">
        <v>221</v>
      </c>
      <c r="G14" s="81" t="s">
        <v>222</v>
      </c>
      <c r="H14" s="81" t="s">
        <v>217</v>
      </c>
      <c r="I14" s="82">
        <v>3</v>
      </c>
      <c r="J14" s="82">
        <v>2</v>
      </c>
      <c r="K14" s="22">
        <f t="shared" si="4"/>
        <v>6</v>
      </c>
      <c r="L14" s="14" t="str">
        <f t="shared" si="5"/>
        <v>Доп.</v>
      </c>
      <c r="M14" s="81"/>
      <c r="N14" s="81"/>
      <c r="O14" s="81"/>
      <c r="P14" s="81"/>
      <c r="Q14" s="81"/>
      <c r="R14" s="81"/>
      <c r="S14" s="82"/>
      <c r="T14" s="82"/>
      <c r="U14" s="19">
        <f t="shared" si="6"/>
        <v>0</v>
      </c>
      <c r="V14" s="14" t="str">
        <f t="shared" si="7"/>
        <v>Доп.</v>
      </c>
      <c r="W14" s="82"/>
      <c r="X14" s="82"/>
    </row>
    <row r="15" spans="1:24" ht="86.4" x14ac:dyDescent="0.3">
      <c r="D15" s="82"/>
      <c r="E15" s="81" t="s">
        <v>218</v>
      </c>
      <c r="F15" s="81" t="s">
        <v>221</v>
      </c>
      <c r="G15" s="81" t="s">
        <v>223</v>
      </c>
      <c r="H15" s="81" t="s">
        <v>224</v>
      </c>
      <c r="I15" s="82">
        <v>3</v>
      </c>
      <c r="J15" s="82">
        <v>3</v>
      </c>
      <c r="K15" s="22">
        <f t="shared" si="4"/>
        <v>9</v>
      </c>
      <c r="L15" s="14" t="str">
        <f t="shared" si="5"/>
        <v>Не доп.</v>
      </c>
      <c r="M15" s="81"/>
      <c r="N15" s="81"/>
      <c r="O15" s="81"/>
      <c r="P15" s="81"/>
      <c r="Q15" s="81"/>
      <c r="R15" s="81"/>
      <c r="S15" s="82"/>
      <c r="T15" s="82"/>
      <c r="U15" s="19">
        <f t="shared" si="6"/>
        <v>0</v>
      </c>
      <c r="V15" s="14" t="str">
        <f t="shared" si="7"/>
        <v>Доп.</v>
      </c>
      <c r="W15" s="82"/>
      <c r="X15" s="82"/>
    </row>
  </sheetData>
  <mergeCells count="9">
    <mergeCell ref="M1:U1"/>
    <mergeCell ref="V1:V3"/>
    <mergeCell ref="W1:W3"/>
    <mergeCell ref="X1:X3"/>
    <mergeCell ref="M2:O2"/>
    <mergeCell ref="P2:R2"/>
    <mergeCell ref="S2:S3"/>
    <mergeCell ref="T2:T3"/>
    <mergeCell ref="U2:U3"/>
  </mergeCells>
  <conditionalFormatting sqref="K5:K15">
    <cfRule type="cellIs" dxfId="11" priority="10" operator="greaterThan">
      <formula>12</formula>
    </cfRule>
    <cfRule type="cellIs" dxfId="10" priority="11" operator="between">
      <formula>6</formula>
      <formula>12</formula>
    </cfRule>
    <cfRule type="cellIs" dxfId="9" priority="12" operator="lessThan">
      <formula>6</formula>
    </cfRule>
    <cfRule type="colorScale" priority="13">
      <colorScale>
        <cfvo type="num" val="6"/>
        <cfvo type="num" val="12"/>
        <cfvo type="num" val="20"/>
        <color rgb="FF00B050"/>
        <color rgb="FFFFEB84"/>
        <color rgb="FFFF0000"/>
      </colorScale>
    </cfRule>
    <cfRule type="colorScale" priority="14">
      <colorScale>
        <cfvo type="num" val="10"/>
        <cfvo type="num" val="12"/>
        <cfvo type="num" val="20"/>
        <color rgb="FFF8696B"/>
        <color rgb="FFFFEB84"/>
        <color rgb="FF63BE7B"/>
      </colorScale>
    </cfRule>
    <cfRule type="colorScale" priority="15">
      <colorScale>
        <cfvo type="min"/>
        <cfvo type="percentile" val="50"/>
        <cfvo type="max"/>
        <color rgb="FF92D050"/>
        <color rgb="FFFFEB84"/>
        <color rgb="FFFF0000"/>
      </colorScale>
    </cfRule>
    <cfRule type="colorScale" priority="1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1:L15">
    <cfRule type="cellIs" dxfId="8" priority="3" operator="equal">
      <formula>"Не доп."</formula>
    </cfRule>
    <cfRule type="cellIs" dxfId="7" priority="4" operator="equal">
      <formula>"Доп."</formula>
    </cfRule>
  </conditionalFormatting>
  <conditionalFormatting sqref="L5:L15">
    <cfRule type="cellIs" dxfId="6" priority="5" operator="equal">
      <formula>"Не доп."</formula>
    </cfRule>
    <cfRule type="cellIs" dxfId="5" priority="6" operator="equal">
      <formula>"Доп."</formula>
    </cfRule>
  </conditionalFormatting>
  <conditionalFormatting sqref="U1 U5:U15">
    <cfRule type="cellIs" dxfId="4" priority="7" operator="greaterThan">
      <formula>12</formula>
    </cfRule>
    <cfRule type="cellIs" dxfId="3" priority="8" operator="between">
      <formula>6</formula>
      <formula>12</formula>
    </cfRule>
    <cfRule type="cellIs" dxfId="2" priority="9" operator="lessThan">
      <formula>6</formula>
    </cfRule>
  </conditionalFormatting>
  <conditionalFormatting sqref="V1:V15">
    <cfRule type="cellIs" dxfId="1" priority="1" operator="equal">
      <formula>"Не доп."</formula>
    </cfRule>
    <cfRule type="cellIs" dxfId="0" priority="2" operator="equal">
      <formula>"Доп."</formula>
    </cfRule>
  </conditionalFormatting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29"/>
  <sheetViews>
    <sheetView topLeftCell="A13" workbookViewId="0">
      <selection activeCell="A3" sqref="A3"/>
    </sheetView>
  </sheetViews>
  <sheetFormatPr defaultRowHeight="14.4" x14ac:dyDescent="0.3"/>
  <cols>
    <col min="1" max="1" width="127.5546875" customWidth="1"/>
  </cols>
  <sheetData>
    <row r="1" spans="1:1" ht="57.6" x14ac:dyDescent="0.3">
      <c r="A1" s="6" t="s">
        <v>51</v>
      </c>
    </row>
    <row r="2" spans="1:1" ht="28.8" x14ac:dyDescent="0.3">
      <c r="A2" s="6" t="s">
        <v>52</v>
      </c>
    </row>
    <row r="3" spans="1:1" s="6" customFormat="1" ht="32.25" customHeight="1" x14ac:dyDescent="0.3">
      <c r="A3" s="6" t="s">
        <v>53</v>
      </c>
    </row>
    <row r="4" spans="1:1" x14ac:dyDescent="0.3">
      <c r="A4" s="6"/>
    </row>
    <row r="5" spans="1:1" x14ac:dyDescent="0.3">
      <c r="A5" s="6"/>
    </row>
    <row r="6" spans="1:1" x14ac:dyDescent="0.3">
      <c r="A6" s="6"/>
    </row>
    <row r="7" spans="1:1" x14ac:dyDescent="0.3">
      <c r="A7" s="6"/>
    </row>
    <row r="8" spans="1:1" x14ac:dyDescent="0.3">
      <c r="A8" s="6"/>
    </row>
    <row r="9" spans="1:1" x14ac:dyDescent="0.3">
      <c r="A9" s="6"/>
    </row>
    <row r="10" spans="1:1" x14ac:dyDescent="0.3">
      <c r="A10" s="6"/>
    </row>
    <row r="11" spans="1:1" x14ac:dyDescent="0.3">
      <c r="A11" s="6"/>
    </row>
    <row r="12" spans="1:1" x14ac:dyDescent="0.3">
      <c r="A12" s="6"/>
    </row>
    <row r="13" spans="1:1" x14ac:dyDescent="0.3">
      <c r="A13" s="6"/>
    </row>
    <row r="14" spans="1:1" x14ac:dyDescent="0.3">
      <c r="A14" s="6"/>
    </row>
    <row r="15" spans="1:1" x14ac:dyDescent="0.3">
      <c r="A15" s="6"/>
    </row>
    <row r="16" spans="1:1" x14ac:dyDescent="0.3">
      <c r="A16" s="6"/>
    </row>
    <row r="17" spans="1:1" x14ac:dyDescent="0.3">
      <c r="A17" s="6"/>
    </row>
    <row r="18" spans="1:1" x14ac:dyDescent="0.3">
      <c r="A18" s="6"/>
    </row>
    <row r="19" spans="1:1" x14ac:dyDescent="0.3">
      <c r="A19" s="6"/>
    </row>
    <row r="20" spans="1:1" x14ac:dyDescent="0.3">
      <c r="A20" s="6"/>
    </row>
    <row r="21" spans="1:1" x14ac:dyDescent="0.3">
      <c r="A21" s="6"/>
    </row>
    <row r="22" spans="1:1" x14ac:dyDescent="0.3">
      <c r="A22" s="6"/>
    </row>
    <row r="23" spans="1:1" x14ac:dyDescent="0.3">
      <c r="A23" s="6"/>
    </row>
    <row r="24" spans="1:1" x14ac:dyDescent="0.3">
      <c r="A24" s="6"/>
    </row>
    <row r="25" spans="1:1" x14ac:dyDescent="0.3">
      <c r="A25" s="6"/>
    </row>
    <row r="26" spans="1:1" x14ac:dyDescent="0.3">
      <c r="A26" s="6"/>
    </row>
    <row r="27" spans="1:1" x14ac:dyDescent="0.3">
      <c r="A27" s="6"/>
    </row>
    <row r="28" spans="1:1" x14ac:dyDescent="0.3">
      <c r="A28" s="6"/>
    </row>
    <row r="29" spans="1:1" x14ac:dyDescent="0.3">
      <c r="A29" s="6"/>
    </row>
  </sheetData>
  <pageMargins left="0.7" right="0.7" top="0.75" bottom="0.75" header="0.3" footer="0.3"/>
  <pageSetup paperSize="256" orientation="portrait" horizontalDpi="203" verticalDpi="203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5"/>
  <sheetViews>
    <sheetView workbookViewId="0">
      <selection activeCell="E13" sqref="E13"/>
    </sheetView>
  </sheetViews>
  <sheetFormatPr defaultRowHeight="14.4" x14ac:dyDescent="0.3"/>
  <cols>
    <col min="1" max="1" width="192.44140625" customWidth="1"/>
  </cols>
  <sheetData>
    <row r="1" spans="1:1" x14ac:dyDescent="0.3">
      <c r="A1" s="4" t="s">
        <v>38</v>
      </c>
    </row>
    <row r="2" spans="1:1" ht="82.5" customHeight="1" x14ac:dyDescent="0.3">
      <c r="A2" s="2" t="s">
        <v>39</v>
      </c>
    </row>
    <row r="3" spans="1:1" ht="42.75" customHeight="1" x14ac:dyDescent="0.3">
      <c r="A3" s="5" t="s">
        <v>37</v>
      </c>
    </row>
    <row r="4" spans="1:1" ht="67.5" customHeight="1" x14ac:dyDescent="0.3">
      <c r="A4" s="2" t="s">
        <v>40</v>
      </c>
    </row>
    <row r="5" spans="1:1" ht="145.19999999999999" x14ac:dyDescent="0.3">
      <c r="A5" s="3" t="s">
        <v>36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8"/>
  <sheetViews>
    <sheetView workbookViewId="0">
      <selection activeCell="A10" sqref="A10"/>
    </sheetView>
  </sheetViews>
  <sheetFormatPr defaultRowHeight="14.4" x14ac:dyDescent="0.3"/>
  <sheetData>
    <row r="1" spans="1:7" x14ac:dyDescent="0.3">
      <c r="A1" s="10" t="s">
        <v>67</v>
      </c>
      <c r="B1" s="10"/>
      <c r="C1" s="49"/>
      <c r="D1" s="49"/>
      <c r="E1" s="49"/>
      <c r="F1" s="49"/>
      <c r="G1" s="10"/>
    </row>
    <row r="2" spans="1:7" x14ac:dyDescent="0.3">
      <c r="A2" s="88" t="s">
        <v>392</v>
      </c>
      <c r="B2" s="10"/>
      <c r="C2" s="49"/>
      <c r="D2" s="49"/>
      <c r="E2" s="49"/>
      <c r="F2" s="49"/>
      <c r="G2" s="10"/>
    </row>
    <row r="3" spans="1:7" x14ac:dyDescent="0.3">
      <c r="A3" s="10" t="s">
        <v>18</v>
      </c>
      <c r="B3" s="10"/>
      <c r="C3" s="10"/>
      <c r="D3" s="10"/>
      <c r="E3" s="10"/>
      <c r="F3" s="10"/>
      <c r="G3" s="10"/>
    </row>
    <row r="4" spans="1:7" x14ac:dyDescent="0.3">
      <c r="A4" s="49" t="s">
        <v>66</v>
      </c>
      <c r="B4" s="49"/>
      <c r="C4" s="49"/>
      <c r="D4" s="49"/>
      <c r="E4" s="49"/>
      <c r="F4" s="49"/>
      <c r="G4" s="10"/>
    </row>
    <row r="5" spans="1:7" ht="15.6" x14ac:dyDescent="0.3">
      <c r="B5" s="8"/>
      <c r="E5" s="7"/>
    </row>
    <row r="6" spans="1:7" ht="15.6" x14ac:dyDescent="0.3">
      <c r="A6" t="s">
        <v>19</v>
      </c>
      <c r="B6" s="8"/>
      <c r="E6" s="7"/>
    </row>
    <row r="7" spans="1:7" x14ac:dyDescent="0.3">
      <c r="A7" t="s">
        <v>20</v>
      </c>
      <c r="B7" s="8"/>
    </row>
    <row r="8" spans="1:7" x14ac:dyDescent="0.3">
      <c r="A8" t="s">
        <v>68</v>
      </c>
      <c r="B8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7</vt:i4>
      </vt:variant>
    </vt:vector>
  </HeadingPairs>
  <TitlesOfParts>
    <vt:vector size="7" baseType="lpstr">
      <vt:lpstr>Энергетические опасности</vt:lpstr>
      <vt:lpstr>Био-химические поасности</vt:lpstr>
      <vt:lpstr>Эксплуатационные и информ</vt:lpstr>
      <vt:lpstr>Программные</vt:lpstr>
      <vt:lpstr>14931</vt:lpstr>
      <vt:lpstr>Определения 62366</vt:lpstr>
      <vt:lpstr>Заключение-Выводы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2025-03-12T11:23:44Z</dcterms:modified>
</cp:coreProperties>
</file>